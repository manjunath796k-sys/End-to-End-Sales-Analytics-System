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nju\OneDrive\Desktop\Capstone-Sales-Analytics\reports\"/>
    </mc:Choice>
  </mc:AlternateContent>
  <xr:revisionPtr revIDLastSave="0" documentId="13_ncr:1_{71B0D90B-1C9B-40B1-B3BC-7C29300BA5A9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Cleaned Data" sheetId="1" r:id="rId1"/>
    <sheet name="KPI_Summary" sheetId="6" r:id="rId2"/>
    <sheet name="Region Summary" sheetId="2" r:id="rId3"/>
    <sheet name="Category Summary" sheetId="3" r:id="rId4"/>
    <sheet name="Sales Pivot" sheetId="4" r:id="rId5"/>
    <sheet name="Profit Pivot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6" l="1"/>
  <c r="B3" i="6"/>
  <c r="B2" i="6"/>
</calcChain>
</file>

<file path=xl/sharedStrings.xml><?xml version="1.0" encoding="utf-8"?>
<sst xmlns="http://schemas.openxmlformats.org/spreadsheetml/2006/main" count="2587" uniqueCount="175">
  <si>
    <t>OrderID</t>
  </si>
  <si>
    <t>CustomerID</t>
  </si>
  <si>
    <t>OrderDate</t>
  </si>
  <si>
    <t>Category</t>
  </si>
  <si>
    <t>Sales</t>
  </si>
  <si>
    <t>Quantity</t>
  </si>
  <si>
    <t>Discount</t>
  </si>
  <si>
    <t>Profit</t>
  </si>
  <si>
    <t>CustomerName</t>
  </si>
  <si>
    <t>Region</t>
  </si>
  <si>
    <t>Segment</t>
  </si>
  <si>
    <t>JoinDate</t>
  </si>
  <si>
    <t>Profit Margin</t>
  </si>
  <si>
    <t>Profit Per Unit</t>
  </si>
  <si>
    <t>Electronics</t>
  </si>
  <si>
    <t>Kiara Verma</t>
  </si>
  <si>
    <t>Central</t>
  </si>
  <si>
    <t>Consumer</t>
  </si>
  <si>
    <t>2022-06-02</t>
  </si>
  <si>
    <t>Saanvi Reddy</t>
  </si>
  <si>
    <t>South</t>
  </si>
  <si>
    <t>2023-09-01</t>
  </si>
  <si>
    <t>Beauty</t>
  </si>
  <si>
    <t>Sai Patel</t>
  </si>
  <si>
    <t>West</t>
  </si>
  <si>
    <t>2022-07-06</t>
  </si>
  <si>
    <t>Clothing</t>
  </si>
  <si>
    <t>Reyansh Sharma</t>
  </si>
  <si>
    <t>2024-04-26</t>
  </si>
  <si>
    <t>Sports</t>
  </si>
  <si>
    <t>Divya Sharma</t>
  </si>
  <si>
    <t>East</t>
  </si>
  <si>
    <t>Corporate</t>
  </si>
  <si>
    <t>2022-10-14</t>
  </si>
  <si>
    <t>Isha Singh</t>
  </si>
  <si>
    <t>2023-01-19</t>
  </si>
  <si>
    <t>Aarav Iyer</t>
  </si>
  <si>
    <t>2023-05-09</t>
  </si>
  <si>
    <t>Arjun Reddy</t>
  </si>
  <si>
    <t>Home Office</t>
  </si>
  <si>
    <t>2024-05-05</t>
  </si>
  <si>
    <t>Reyansh Das</t>
  </si>
  <si>
    <t>2022-08-11</t>
  </si>
  <si>
    <t>Books</t>
  </si>
  <si>
    <t>Saanvi Nair</t>
  </si>
  <si>
    <t>2024-02-11</t>
  </si>
  <si>
    <t>Home &amp; Kitchen</t>
  </si>
  <si>
    <t>Vihaan Verma</t>
  </si>
  <si>
    <t>2023-04-27</t>
  </si>
  <si>
    <t>Ishaan Reddy</t>
  </si>
  <si>
    <t>2024-02-09</t>
  </si>
  <si>
    <t>Arun Singh</t>
  </si>
  <si>
    <t>2022-02-19</t>
  </si>
  <si>
    <t>Sai Iyer</t>
  </si>
  <si>
    <t>North</t>
  </si>
  <si>
    <t>2023-07-17</t>
  </si>
  <si>
    <t>Ananya Das</t>
  </si>
  <si>
    <t>2023-08-19</t>
  </si>
  <si>
    <t>Naveen Das</t>
  </si>
  <si>
    <t>Arun Verma</t>
  </si>
  <si>
    <t>2022-09-14</t>
  </si>
  <si>
    <t>Vihaan Gupta</t>
  </si>
  <si>
    <t>2022-09-17</t>
  </si>
  <si>
    <t>Rahul Gupta</t>
  </si>
  <si>
    <t>Unknown</t>
  </si>
  <si>
    <t>2022-02-02</t>
  </si>
  <si>
    <t>Kiara Sharma</t>
  </si>
  <si>
    <t>2022-11-27</t>
  </si>
  <si>
    <t>Ishaan Das</t>
  </si>
  <si>
    <t>2022-05-18</t>
  </si>
  <si>
    <t>Aditya Khan</t>
  </si>
  <si>
    <t>2023-04-26</t>
  </si>
  <si>
    <t>Sai Gupta</t>
  </si>
  <si>
    <t>2023-05-31</t>
  </si>
  <si>
    <t>Myra Patel</t>
  </si>
  <si>
    <t>2024-04-12</t>
  </si>
  <si>
    <t>Pooja Patel</t>
  </si>
  <si>
    <t>2023-03-19</t>
  </si>
  <si>
    <t>Sneha Verma</t>
  </si>
  <si>
    <t>2022-11-01</t>
  </si>
  <si>
    <t>Riya Reddy</t>
  </si>
  <si>
    <t>2023-08-25</t>
  </si>
  <si>
    <t>Sai Das</t>
  </si>
  <si>
    <t>2023-11-05</t>
  </si>
  <si>
    <t>Isha Nair</t>
  </si>
  <si>
    <t>2022-11-20</t>
  </si>
  <si>
    <t>Aditya Patel</t>
  </si>
  <si>
    <t>2023-07-05</t>
  </si>
  <si>
    <t>Karthik Reddy</t>
  </si>
  <si>
    <t>2022-11-16</t>
  </si>
  <si>
    <t>Vivaan Patel</t>
  </si>
  <si>
    <t>2023-04-20</t>
  </si>
  <si>
    <t>Krishna Khan</t>
  </si>
  <si>
    <t>2024-04-16</t>
  </si>
  <si>
    <t>2023-10-23</t>
  </si>
  <si>
    <t>Priya Singh</t>
  </si>
  <si>
    <t>2022-01-21</t>
  </si>
  <si>
    <t>Deepak Singh</t>
  </si>
  <si>
    <t>2024-06-03</t>
  </si>
  <si>
    <t>Saanvi Iyer</t>
  </si>
  <si>
    <t>2023-02-15</t>
  </si>
  <si>
    <t>Pooja Iyer</t>
  </si>
  <si>
    <t>2024-01-16</t>
  </si>
  <si>
    <t>Karthik Patel</t>
  </si>
  <si>
    <t>2022-09-13</t>
  </si>
  <si>
    <t>Rahul Reddy</t>
  </si>
  <si>
    <t>2022-04-10</t>
  </si>
  <si>
    <t>Naveen Sharma</t>
  </si>
  <si>
    <t>2022-05-17</t>
  </si>
  <si>
    <t>Myra Gupta</t>
  </si>
  <si>
    <t>2023-10-01</t>
  </si>
  <si>
    <t>Naveen Khan</t>
  </si>
  <si>
    <t>2023-09-02</t>
  </si>
  <si>
    <t>Reyansh Verma</t>
  </si>
  <si>
    <t>2023-06-24</t>
  </si>
  <si>
    <t>2022-11-12</t>
  </si>
  <si>
    <t>Isha Reddy</t>
  </si>
  <si>
    <t>2024-02-05</t>
  </si>
  <si>
    <t>Deepak Khan</t>
  </si>
  <si>
    <t>2023-02-08</t>
  </si>
  <si>
    <t>Ananya Iyer</t>
  </si>
  <si>
    <t>2024-05-16</t>
  </si>
  <si>
    <t>Kiara Gupta</t>
  </si>
  <si>
    <t>2024-01-18</t>
  </si>
  <si>
    <t>Riya Verma</t>
  </si>
  <si>
    <t>2024-02-20</t>
  </si>
  <si>
    <t>Rahul Singh</t>
  </si>
  <si>
    <t>Reyansh Nair</t>
  </si>
  <si>
    <t>2023-06-04</t>
  </si>
  <si>
    <t>Aditya Sharma</t>
  </si>
  <si>
    <t>2023-12-18</t>
  </si>
  <si>
    <t>Aarav Nair</t>
  </si>
  <si>
    <t>2023-01-13</t>
  </si>
  <si>
    <t>Pooja Gupta</t>
  </si>
  <si>
    <t>2022-04-17</t>
  </si>
  <si>
    <t>Pooja Verma</t>
  </si>
  <si>
    <t>2023-03-05</t>
  </si>
  <si>
    <t>2023-02-23</t>
  </si>
  <si>
    <t>Vivaan Singh</t>
  </si>
  <si>
    <t>2022-10-18</t>
  </si>
  <si>
    <t>Aditya Reddy</t>
  </si>
  <si>
    <t>2022-02-09</t>
  </si>
  <si>
    <t>Rohan Patel</t>
  </si>
  <si>
    <t>2023-03-12</t>
  </si>
  <si>
    <t>Vivaan Gupta</t>
  </si>
  <si>
    <t>2022-10-21</t>
  </si>
  <si>
    <t>Divya Gupta</t>
  </si>
  <si>
    <t>Rohan Iyer</t>
  </si>
  <si>
    <t>2023-09-08</t>
  </si>
  <si>
    <t>Isha Das</t>
  </si>
  <si>
    <t>2022-03-18</t>
  </si>
  <si>
    <t>Aarav Sharma</t>
  </si>
  <si>
    <t>2022-03-15</t>
  </si>
  <si>
    <t>Tara Das</t>
  </si>
  <si>
    <t>2023-02-06</t>
  </si>
  <si>
    <t>Karthik Das</t>
  </si>
  <si>
    <t>2024-06-07</t>
  </si>
  <si>
    <t>Myra Sharma</t>
  </si>
  <si>
    <t>2024-03-26</t>
  </si>
  <si>
    <t>Myra Singh</t>
  </si>
  <si>
    <t>2023-01-27</t>
  </si>
  <si>
    <t>Pooja Khan</t>
  </si>
  <si>
    <t>2023-06-15</t>
  </si>
  <si>
    <t>Unknown Customer</t>
  </si>
  <si>
    <t>Not Available</t>
  </si>
  <si>
    <t>Total_Sales</t>
  </si>
  <si>
    <t>Total_Profit</t>
  </si>
  <si>
    <t>Average_Sales</t>
  </si>
  <si>
    <t>Total_Orders</t>
  </si>
  <si>
    <t>Average_Profit</t>
  </si>
  <si>
    <t>KPI</t>
  </si>
  <si>
    <t>Value</t>
  </si>
  <si>
    <t>Total Sales</t>
  </si>
  <si>
    <t>Total Profit</t>
  </si>
  <si>
    <t>Average 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</si>
</sst>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5"/>
  <sheetViews>
    <sheetView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7001</v>
      </c>
      <c r="B2">
        <v>39</v>
      </c>
      <c r="C2" s="1">
        <v>45407</v>
      </c>
      <c r="D2" t="s">
        <v>14</v>
      </c>
      <c r="E2">
        <v>702.14</v>
      </c>
      <c r="F2">
        <v>1</v>
      </c>
      <c r="G2">
        <v>0.2</v>
      </c>
      <c r="H2">
        <v>235.43</v>
      </c>
      <c r="I2" t="s">
        <v>15</v>
      </c>
      <c r="J2" t="s">
        <v>16</v>
      </c>
      <c r="K2" t="s">
        <v>17</v>
      </c>
      <c r="L2" t="s">
        <v>18</v>
      </c>
      <c r="M2">
        <v>33.530350072635088</v>
      </c>
      <c r="N2">
        <v>235.43</v>
      </c>
    </row>
    <row r="3" spans="1:14" x14ac:dyDescent="0.3">
      <c r="A3">
        <v>7002</v>
      </c>
      <c r="B3">
        <v>3</v>
      </c>
      <c r="C3" s="1">
        <v>45546</v>
      </c>
      <c r="D3" t="s">
        <v>14</v>
      </c>
      <c r="E3">
        <v>1105.81</v>
      </c>
      <c r="F3">
        <v>1</v>
      </c>
      <c r="G3">
        <v>0.15</v>
      </c>
      <c r="H3">
        <v>383.75</v>
      </c>
      <c r="I3" t="s">
        <v>19</v>
      </c>
      <c r="J3" t="s">
        <v>20</v>
      </c>
      <c r="K3" t="s">
        <v>17</v>
      </c>
      <c r="L3" t="s">
        <v>21</v>
      </c>
      <c r="M3">
        <v>34.703068339045593</v>
      </c>
      <c r="N3">
        <v>383.75</v>
      </c>
    </row>
    <row r="4" spans="1:14" x14ac:dyDescent="0.3">
      <c r="A4">
        <v>7003</v>
      </c>
      <c r="B4">
        <v>10</v>
      </c>
      <c r="C4" s="1">
        <v>45632</v>
      </c>
      <c r="D4" t="s">
        <v>22</v>
      </c>
      <c r="E4">
        <v>45.36</v>
      </c>
      <c r="F4">
        <v>5</v>
      </c>
      <c r="G4">
        <v>0.1</v>
      </c>
      <c r="H4">
        <v>34.1</v>
      </c>
      <c r="I4" t="s">
        <v>23</v>
      </c>
      <c r="J4" t="s">
        <v>24</v>
      </c>
      <c r="K4" t="s">
        <v>17</v>
      </c>
      <c r="L4" t="s">
        <v>25</v>
      </c>
      <c r="M4">
        <v>75.17636684303352</v>
      </c>
      <c r="N4">
        <v>6.82</v>
      </c>
    </row>
    <row r="5" spans="1:14" x14ac:dyDescent="0.3">
      <c r="A5">
        <v>7004</v>
      </c>
      <c r="B5">
        <v>3</v>
      </c>
      <c r="C5" s="1">
        <v>45627</v>
      </c>
      <c r="D5" t="s">
        <v>14</v>
      </c>
      <c r="E5">
        <v>865.79</v>
      </c>
      <c r="F5">
        <v>7</v>
      </c>
      <c r="G5">
        <v>0.05</v>
      </c>
      <c r="H5">
        <v>1780.09</v>
      </c>
      <c r="I5" t="s">
        <v>19</v>
      </c>
      <c r="J5" t="s">
        <v>20</v>
      </c>
      <c r="K5" t="s">
        <v>17</v>
      </c>
      <c r="L5" t="s">
        <v>21</v>
      </c>
      <c r="M5">
        <v>205.60297531734031</v>
      </c>
      <c r="N5">
        <v>254.29857142857139</v>
      </c>
    </row>
    <row r="6" spans="1:14" x14ac:dyDescent="0.3">
      <c r="A6">
        <v>7005</v>
      </c>
      <c r="B6">
        <v>51</v>
      </c>
      <c r="C6" s="1">
        <v>45401</v>
      </c>
      <c r="D6" t="s">
        <v>26</v>
      </c>
      <c r="E6">
        <v>118.44</v>
      </c>
      <c r="F6">
        <v>3</v>
      </c>
      <c r="G6">
        <v>0.15</v>
      </c>
      <c r="H6">
        <v>125.13</v>
      </c>
      <c r="I6" t="s">
        <v>27</v>
      </c>
      <c r="J6" t="s">
        <v>16</v>
      </c>
      <c r="K6" t="s">
        <v>17</v>
      </c>
      <c r="L6" t="s">
        <v>28</v>
      </c>
      <c r="M6">
        <v>105.6484295845998</v>
      </c>
      <c r="N6">
        <v>41.71</v>
      </c>
    </row>
    <row r="7" spans="1:14" x14ac:dyDescent="0.3">
      <c r="A7">
        <v>7006</v>
      </c>
      <c r="B7">
        <v>47</v>
      </c>
      <c r="C7" s="1">
        <v>45306</v>
      </c>
      <c r="D7" t="s">
        <v>29</v>
      </c>
      <c r="E7">
        <v>273.04000000000002</v>
      </c>
      <c r="F7">
        <v>3</v>
      </c>
      <c r="G7">
        <v>0.1</v>
      </c>
      <c r="H7">
        <v>248.83</v>
      </c>
      <c r="I7" t="s">
        <v>30</v>
      </c>
      <c r="J7" t="s">
        <v>31</v>
      </c>
      <c r="K7" t="s">
        <v>32</v>
      </c>
      <c r="L7" t="s">
        <v>33</v>
      </c>
      <c r="M7">
        <v>91.133167301494282</v>
      </c>
      <c r="N7">
        <v>82.943333333333342</v>
      </c>
    </row>
    <row r="8" spans="1:14" x14ac:dyDescent="0.3">
      <c r="A8">
        <v>7007</v>
      </c>
      <c r="B8">
        <v>38</v>
      </c>
      <c r="C8" s="1">
        <v>45532</v>
      </c>
      <c r="D8" t="s">
        <v>14</v>
      </c>
      <c r="E8">
        <v>112.89</v>
      </c>
      <c r="F8">
        <v>6</v>
      </c>
      <c r="G8">
        <v>0</v>
      </c>
      <c r="H8">
        <v>245</v>
      </c>
      <c r="I8" t="s">
        <v>34</v>
      </c>
      <c r="J8" t="s">
        <v>16</v>
      </c>
      <c r="K8" t="s">
        <v>32</v>
      </c>
      <c r="L8" t="s">
        <v>35</v>
      </c>
      <c r="M8">
        <v>217.0254229781203</v>
      </c>
      <c r="N8">
        <v>40.833333333333343</v>
      </c>
    </row>
    <row r="9" spans="1:14" x14ac:dyDescent="0.3">
      <c r="A9">
        <v>7008</v>
      </c>
      <c r="B9">
        <v>53</v>
      </c>
      <c r="C9" s="1">
        <v>45309</v>
      </c>
      <c r="D9" t="s">
        <v>14</v>
      </c>
      <c r="E9">
        <v>754.01</v>
      </c>
      <c r="F9">
        <v>5</v>
      </c>
      <c r="G9">
        <v>0.05</v>
      </c>
      <c r="H9">
        <v>83.04</v>
      </c>
      <c r="I9" t="s">
        <v>36</v>
      </c>
      <c r="J9" t="s">
        <v>20</v>
      </c>
      <c r="K9" t="s">
        <v>17</v>
      </c>
      <c r="L9" t="s">
        <v>37</v>
      </c>
      <c r="M9">
        <v>11.013116536915961</v>
      </c>
      <c r="N9">
        <v>16.608000000000001</v>
      </c>
    </row>
    <row r="10" spans="1:14" x14ac:dyDescent="0.3">
      <c r="A10">
        <v>7009</v>
      </c>
      <c r="B10">
        <v>30</v>
      </c>
      <c r="C10" s="1">
        <v>45363</v>
      </c>
      <c r="D10" t="s">
        <v>22</v>
      </c>
      <c r="E10">
        <v>110.74</v>
      </c>
      <c r="F10">
        <v>4</v>
      </c>
      <c r="G10">
        <v>0.1</v>
      </c>
      <c r="H10">
        <v>111.9</v>
      </c>
      <c r="I10" t="s">
        <v>38</v>
      </c>
      <c r="J10" t="s">
        <v>24</v>
      </c>
      <c r="K10" t="s">
        <v>39</v>
      </c>
      <c r="L10" t="s">
        <v>40</v>
      </c>
      <c r="M10">
        <v>101.0474986454759</v>
      </c>
      <c r="N10">
        <v>27.975000000000001</v>
      </c>
    </row>
    <row r="11" spans="1:14" x14ac:dyDescent="0.3">
      <c r="A11">
        <v>7010</v>
      </c>
      <c r="B11">
        <v>14</v>
      </c>
      <c r="C11" s="1">
        <v>45307</v>
      </c>
      <c r="D11" t="s">
        <v>29</v>
      </c>
      <c r="E11">
        <v>241.88</v>
      </c>
      <c r="F11">
        <v>2</v>
      </c>
      <c r="G11">
        <v>0.05</v>
      </c>
      <c r="H11">
        <v>148.06</v>
      </c>
      <c r="I11" t="s">
        <v>41</v>
      </c>
      <c r="J11" t="s">
        <v>24</v>
      </c>
      <c r="K11" t="s">
        <v>17</v>
      </c>
      <c r="L11" t="s">
        <v>42</v>
      </c>
      <c r="M11">
        <v>61.212171324623789</v>
      </c>
      <c r="N11">
        <v>74.03</v>
      </c>
    </row>
    <row r="12" spans="1:14" x14ac:dyDescent="0.3">
      <c r="A12">
        <v>7011</v>
      </c>
      <c r="B12">
        <v>32</v>
      </c>
      <c r="C12" s="1">
        <v>45519</v>
      </c>
      <c r="D12" t="s">
        <v>43</v>
      </c>
      <c r="E12">
        <v>27.54</v>
      </c>
      <c r="F12">
        <v>4</v>
      </c>
      <c r="G12">
        <v>0.2</v>
      </c>
      <c r="H12">
        <v>31.64</v>
      </c>
      <c r="I12" t="s">
        <v>44</v>
      </c>
      <c r="J12" t="s">
        <v>24</v>
      </c>
      <c r="K12" t="s">
        <v>17</v>
      </c>
      <c r="L12" t="s">
        <v>45</v>
      </c>
      <c r="M12">
        <v>114.8874364560639</v>
      </c>
      <c r="N12">
        <v>7.91</v>
      </c>
    </row>
    <row r="13" spans="1:14" x14ac:dyDescent="0.3">
      <c r="A13">
        <v>7012</v>
      </c>
      <c r="B13">
        <v>24</v>
      </c>
      <c r="C13" s="1">
        <v>45561</v>
      </c>
      <c r="D13" t="s">
        <v>46</v>
      </c>
      <c r="E13">
        <v>374.14</v>
      </c>
      <c r="F13">
        <v>5</v>
      </c>
      <c r="G13">
        <v>0.1</v>
      </c>
      <c r="H13">
        <v>686.32</v>
      </c>
      <c r="I13" t="s">
        <v>47</v>
      </c>
      <c r="J13" t="s">
        <v>20</v>
      </c>
      <c r="K13" t="s">
        <v>32</v>
      </c>
      <c r="L13" t="s">
        <v>48</v>
      </c>
      <c r="M13">
        <v>183.43935425241889</v>
      </c>
      <c r="N13">
        <v>137.26400000000001</v>
      </c>
    </row>
    <row r="14" spans="1:14" x14ac:dyDescent="0.3">
      <c r="A14">
        <v>7013</v>
      </c>
      <c r="B14">
        <v>14</v>
      </c>
      <c r="C14" s="1">
        <v>45348</v>
      </c>
      <c r="D14" t="s">
        <v>26</v>
      </c>
      <c r="E14">
        <v>55.17</v>
      </c>
      <c r="F14">
        <v>1</v>
      </c>
      <c r="G14">
        <v>0.05</v>
      </c>
      <c r="H14">
        <v>9.23</v>
      </c>
      <c r="I14" t="s">
        <v>41</v>
      </c>
      <c r="J14" t="s">
        <v>24</v>
      </c>
      <c r="K14" t="s">
        <v>17</v>
      </c>
      <c r="L14" t="s">
        <v>42</v>
      </c>
      <c r="M14">
        <v>16.730106942178718</v>
      </c>
      <c r="N14">
        <v>9.23</v>
      </c>
    </row>
    <row r="15" spans="1:14" x14ac:dyDescent="0.3">
      <c r="A15">
        <v>7014</v>
      </c>
      <c r="B15">
        <v>42</v>
      </c>
      <c r="C15" s="1">
        <v>45569</v>
      </c>
      <c r="D15" t="s">
        <v>22</v>
      </c>
      <c r="E15">
        <v>75.84</v>
      </c>
      <c r="F15">
        <v>3</v>
      </c>
      <c r="G15">
        <v>0.2</v>
      </c>
      <c r="H15">
        <v>61.42</v>
      </c>
      <c r="I15" t="s">
        <v>49</v>
      </c>
      <c r="J15" t="s">
        <v>31</v>
      </c>
      <c r="K15" t="s">
        <v>17</v>
      </c>
      <c r="L15" t="s">
        <v>50</v>
      </c>
      <c r="M15">
        <v>80.986286919831215</v>
      </c>
      <c r="N15">
        <v>20.473333333333329</v>
      </c>
    </row>
    <row r="16" spans="1:14" x14ac:dyDescent="0.3">
      <c r="A16">
        <v>7015</v>
      </c>
      <c r="B16">
        <v>64</v>
      </c>
      <c r="C16" s="1">
        <v>45487</v>
      </c>
      <c r="D16" t="s">
        <v>14</v>
      </c>
      <c r="E16">
        <v>85.55</v>
      </c>
      <c r="F16">
        <v>4</v>
      </c>
      <c r="G16">
        <v>0</v>
      </c>
      <c r="H16">
        <v>100.11</v>
      </c>
      <c r="I16" t="s">
        <v>51</v>
      </c>
      <c r="J16" t="s">
        <v>24</v>
      </c>
      <c r="K16" t="s">
        <v>32</v>
      </c>
      <c r="L16" t="s">
        <v>52</v>
      </c>
      <c r="M16">
        <v>117.0192869666862</v>
      </c>
      <c r="N16">
        <v>25.0275</v>
      </c>
    </row>
    <row r="17" spans="1:14" x14ac:dyDescent="0.3">
      <c r="A17">
        <v>7016</v>
      </c>
      <c r="B17">
        <v>25</v>
      </c>
      <c r="C17" s="1">
        <v>45375</v>
      </c>
      <c r="D17" t="s">
        <v>26</v>
      </c>
      <c r="E17">
        <v>121.68</v>
      </c>
      <c r="F17">
        <v>1</v>
      </c>
      <c r="G17">
        <v>0</v>
      </c>
      <c r="H17">
        <v>34.81</v>
      </c>
      <c r="I17" t="s">
        <v>53</v>
      </c>
      <c r="J17" t="s">
        <v>54</v>
      </c>
      <c r="K17" t="s">
        <v>17</v>
      </c>
      <c r="L17" t="s">
        <v>55</v>
      </c>
      <c r="M17">
        <v>28.607823800131492</v>
      </c>
      <c r="N17">
        <v>34.81</v>
      </c>
    </row>
    <row r="18" spans="1:14" x14ac:dyDescent="0.3">
      <c r="A18">
        <v>7017</v>
      </c>
      <c r="B18">
        <v>1</v>
      </c>
      <c r="C18" s="1">
        <v>45460</v>
      </c>
      <c r="D18" t="s">
        <v>14</v>
      </c>
      <c r="E18">
        <v>636.92999999999995</v>
      </c>
      <c r="F18">
        <v>7</v>
      </c>
      <c r="G18">
        <v>0.05</v>
      </c>
      <c r="H18">
        <v>1514.78</v>
      </c>
      <c r="I18" t="s">
        <v>56</v>
      </c>
      <c r="J18" t="s">
        <v>31</v>
      </c>
      <c r="K18" t="s">
        <v>32</v>
      </c>
      <c r="L18" t="s">
        <v>57</v>
      </c>
      <c r="M18">
        <v>237.82519272133521</v>
      </c>
      <c r="N18">
        <v>216.39714285714291</v>
      </c>
    </row>
    <row r="19" spans="1:14" x14ac:dyDescent="0.3">
      <c r="A19">
        <v>7018</v>
      </c>
      <c r="B19">
        <v>33</v>
      </c>
      <c r="C19" s="1">
        <v>45531</v>
      </c>
      <c r="D19" t="s">
        <v>26</v>
      </c>
      <c r="E19">
        <v>122.48</v>
      </c>
      <c r="F19">
        <v>7</v>
      </c>
      <c r="G19">
        <v>0.1</v>
      </c>
      <c r="H19">
        <v>338.58</v>
      </c>
      <c r="I19" t="s">
        <v>58</v>
      </c>
      <c r="J19" t="s">
        <v>24</v>
      </c>
      <c r="K19" t="s">
        <v>17</v>
      </c>
      <c r="L19" t="s">
        <v>40</v>
      </c>
      <c r="M19">
        <v>276.43696930111042</v>
      </c>
      <c r="N19">
        <v>48.368571428571428</v>
      </c>
    </row>
    <row r="20" spans="1:14" x14ac:dyDescent="0.3">
      <c r="A20">
        <v>7019</v>
      </c>
      <c r="B20">
        <v>30</v>
      </c>
      <c r="C20" s="1">
        <v>45346</v>
      </c>
      <c r="D20" t="s">
        <v>43</v>
      </c>
      <c r="E20">
        <v>33.64</v>
      </c>
      <c r="F20">
        <v>2</v>
      </c>
      <c r="G20">
        <v>0</v>
      </c>
      <c r="H20">
        <v>14.49</v>
      </c>
      <c r="I20" t="s">
        <v>38</v>
      </c>
      <c r="J20" t="s">
        <v>24</v>
      </c>
      <c r="K20" t="s">
        <v>39</v>
      </c>
      <c r="L20" t="s">
        <v>40</v>
      </c>
      <c r="M20">
        <v>43.07372175980975</v>
      </c>
      <c r="N20">
        <v>7.2450000000000001</v>
      </c>
    </row>
    <row r="21" spans="1:14" x14ac:dyDescent="0.3">
      <c r="A21">
        <v>7020</v>
      </c>
      <c r="B21">
        <v>59</v>
      </c>
      <c r="C21" s="1">
        <v>45582</v>
      </c>
      <c r="D21" t="s">
        <v>26</v>
      </c>
      <c r="E21">
        <v>49.84</v>
      </c>
      <c r="F21">
        <v>2</v>
      </c>
      <c r="G21">
        <v>0.05</v>
      </c>
      <c r="H21">
        <v>17.86</v>
      </c>
      <c r="I21" t="s">
        <v>59</v>
      </c>
      <c r="J21" t="s">
        <v>24</v>
      </c>
      <c r="K21" t="s">
        <v>17</v>
      </c>
      <c r="L21" t="s">
        <v>60</v>
      </c>
      <c r="M21">
        <v>35.834670947030503</v>
      </c>
      <c r="N21">
        <v>8.93</v>
      </c>
    </row>
    <row r="22" spans="1:14" x14ac:dyDescent="0.3">
      <c r="A22">
        <v>7021</v>
      </c>
      <c r="B22">
        <v>29</v>
      </c>
      <c r="C22" s="1">
        <v>45625</v>
      </c>
      <c r="D22" t="s">
        <v>26</v>
      </c>
      <c r="E22">
        <v>28.79</v>
      </c>
      <c r="F22">
        <v>7</v>
      </c>
      <c r="G22">
        <v>0.1</v>
      </c>
      <c r="H22">
        <v>37.799999999999997</v>
      </c>
      <c r="I22" t="s">
        <v>61</v>
      </c>
      <c r="J22" t="s">
        <v>20</v>
      </c>
      <c r="K22" t="s">
        <v>39</v>
      </c>
      <c r="L22" t="s">
        <v>62</v>
      </c>
      <c r="M22">
        <v>131.29558874609239</v>
      </c>
      <c r="N22">
        <v>5.3999999999999986</v>
      </c>
    </row>
    <row r="23" spans="1:14" x14ac:dyDescent="0.3">
      <c r="A23">
        <v>7022</v>
      </c>
      <c r="B23">
        <v>69</v>
      </c>
      <c r="C23" s="1">
        <v>45341</v>
      </c>
      <c r="D23" t="s">
        <v>14</v>
      </c>
      <c r="E23">
        <v>91.98</v>
      </c>
      <c r="F23">
        <v>1</v>
      </c>
      <c r="G23">
        <v>0.05</v>
      </c>
      <c r="H23">
        <v>18.54</v>
      </c>
      <c r="I23" t="s">
        <v>63</v>
      </c>
      <c r="J23" t="s">
        <v>54</v>
      </c>
      <c r="K23" t="s">
        <v>64</v>
      </c>
      <c r="L23" t="s">
        <v>65</v>
      </c>
      <c r="M23">
        <v>20.156555772994128</v>
      </c>
      <c r="N23">
        <v>18.54</v>
      </c>
    </row>
    <row r="24" spans="1:14" x14ac:dyDescent="0.3">
      <c r="A24">
        <v>7023</v>
      </c>
      <c r="B24">
        <v>43</v>
      </c>
      <c r="C24" s="1">
        <v>45519</v>
      </c>
      <c r="D24" t="s">
        <v>43</v>
      </c>
      <c r="E24">
        <v>45.09</v>
      </c>
      <c r="F24">
        <v>4</v>
      </c>
      <c r="G24">
        <v>0.05</v>
      </c>
      <c r="H24">
        <v>54.17</v>
      </c>
      <c r="I24" t="s">
        <v>66</v>
      </c>
      <c r="J24" t="s">
        <v>20</v>
      </c>
      <c r="K24" t="s">
        <v>39</v>
      </c>
      <c r="L24" t="s">
        <v>67</v>
      </c>
      <c r="M24">
        <v>120.1375027722333</v>
      </c>
      <c r="N24">
        <v>13.5425</v>
      </c>
    </row>
    <row r="25" spans="1:14" x14ac:dyDescent="0.3">
      <c r="A25">
        <v>7024</v>
      </c>
      <c r="B25">
        <v>36</v>
      </c>
      <c r="C25" s="1">
        <v>45350</v>
      </c>
      <c r="D25" t="s">
        <v>46</v>
      </c>
      <c r="E25">
        <v>314.83</v>
      </c>
      <c r="F25">
        <v>5</v>
      </c>
      <c r="G25">
        <v>0.1</v>
      </c>
      <c r="H25">
        <v>229.54</v>
      </c>
      <c r="I25" t="s">
        <v>68</v>
      </c>
      <c r="J25" t="s">
        <v>20</v>
      </c>
      <c r="K25" t="s">
        <v>32</v>
      </c>
      <c r="L25" t="s">
        <v>69</v>
      </c>
      <c r="M25">
        <v>72.909189086173484</v>
      </c>
      <c r="N25">
        <v>45.908000000000001</v>
      </c>
    </row>
    <row r="26" spans="1:14" x14ac:dyDescent="0.3">
      <c r="A26">
        <v>7025</v>
      </c>
      <c r="B26">
        <v>49</v>
      </c>
      <c r="C26" s="1">
        <v>45634</v>
      </c>
      <c r="D26" t="s">
        <v>29</v>
      </c>
      <c r="E26">
        <v>142.58000000000001</v>
      </c>
      <c r="F26">
        <v>4</v>
      </c>
      <c r="G26">
        <v>0.05</v>
      </c>
      <c r="H26">
        <v>120.02</v>
      </c>
      <c r="I26" t="s">
        <v>70</v>
      </c>
      <c r="J26" t="s">
        <v>31</v>
      </c>
      <c r="K26" t="s">
        <v>17</v>
      </c>
      <c r="L26" t="s">
        <v>71</v>
      </c>
      <c r="M26">
        <v>84.177303969701214</v>
      </c>
      <c r="N26">
        <v>30.004999999999999</v>
      </c>
    </row>
    <row r="27" spans="1:14" x14ac:dyDescent="0.3">
      <c r="A27">
        <v>7026</v>
      </c>
      <c r="B27">
        <v>62</v>
      </c>
      <c r="C27" s="1">
        <v>45511</v>
      </c>
      <c r="D27" t="s">
        <v>46</v>
      </c>
      <c r="E27">
        <v>82.08</v>
      </c>
      <c r="F27">
        <v>3</v>
      </c>
      <c r="G27">
        <v>0</v>
      </c>
      <c r="H27">
        <v>99.6</v>
      </c>
      <c r="I27" t="s">
        <v>72</v>
      </c>
      <c r="J27" t="s">
        <v>54</v>
      </c>
      <c r="K27" t="s">
        <v>39</v>
      </c>
      <c r="L27" t="s">
        <v>73</v>
      </c>
      <c r="M27">
        <v>121.34502923976611</v>
      </c>
      <c r="N27">
        <v>33.200000000000003</v>
      </c>
    </row>
    <row r="28" spans="1:14" x14ac:dyDescent="0.3">
      <c r="A28">
        <v>7027</v>
      </c>
      <c r="B28">
        <v>68</v>
      </c>
      <c r="C28" s="1">
        <v>45441</v>
      </c>
      <c r="D28" t="s">
        <v>22</v>
      </c>
      <c r="E28">
        <v>23.63</v>
      </c>
      <c r="F28">
        <v>7</v>
      </c>
      <c r="G28">
        <v>0.05</v>
      </c>
      <c r="H28">
        <v>64.84</v>
      </c>
      <c r="I28" t="s">
        <v>74</v>
      </c>
      <c r="J28" t="s">
        <v>16</v>
      </c>
      <c r="K28" t="s">
        <v>17</v>
      </c>
      <c r="L28" t="s">
        <v>75</v>
      </c>
      <c r="M28">
        <v>274.39695302581458</v>
      </c>
      <c r="N28">
        <v>9.2628571428571433</v>
      </c>
    </row>
    <row r="29" spans="1:14" x14ac:dyDescent="0.3">
      <c r="A29">
        <v>7028</v>
      </c>
      <c r="B29">
        <v>53</v>
      </c>
      <c r="C29" s="1">
        <v>45347</v>
      </c>
      <c r="D29" t="s">
        <v>22</v>
      </c>
      <c r="E29">
        <v>68.78</v>
      </c>
      <c r="F29">
        <v>1</v>
      </c>
      <c r="G29">
        <v>0.1</v>
      </c>
      <c r="H29">
        <v>21.78</v>
      </c>
      <c r="I29" t="s">
        <v>36</v>
      </c>
      <c r="J29" t="s">
        <v>20</v>
      </c>
      <c r="K29" t="s">
        <v>17</v>
      </c>
      <c r="L29" t="s">
        <v>37</v>
      </c>
      <c r="M29">
        <v>31.66618202965978</v>
      </c>
      <c r="N29">
        <v>21.78</v>
      </c>
    </row>
    <row r="30" spans="1:14" x14ac:dyDescent="0.3">
      <c r="A30">
        <v>7029</v>
      </c>
      <c r="B30">
        <v>28</v>
      </c>
      <c r="C30" s="1">
        <v>45391</v>
      </c>
      <c r="D30" t="s">
        <v>26</v>
      </c>
      <c r="E30">
        <v>59.71</v>
      </c>
      <c r="F30">
        <v>3</v>
      </c>
      <c r="G30">
        <v>0.05</v>
      </c>
      <c r="H30">
        <v>41.61</v>
      </c>
      <c r="I30" t="s">
        <v>76</v>
      </c>
      <c r="J30" t="s">
        <v>24</v>
      </c>
      <c r="K30" t="s">
        <v>32</v>
      </c>
      <c r="L30" t="s">
        <v>77</v>
      </c>
      <c r="M30">
        <v>69.686819628202983</v>
      </c>
      <c r="N30">
        <v>13.87</v>
      </c>
    </row>
    <row r="31" spans="1:14" x14ac:dyDescent="0.3">
      <c r="A31">
        <v>7030</v>
      </c>
      <c r="B31">
        <v>12</v>
      </c>
      <c r="C31" s="1">
        <v>45573</v>
      </c>
      <c r="D31" t="s">
        <v>14</v>
      </c>
      <c r="E31">
        <v>162.91</v>
      </c>
      <c r="F31">
        <v>7</v>
      </c>
      <c r="G31">
        <v>0.05</v>
      </c>
      <c r="H31">
        <v>453.68</v>
      </c>
      <c r="I31" t="s">
        <v>78</v>
      </c>
      <c r="J31" t="s">
        <v>64</v>
      </c>
      <c r="K31" t="s">
        <v>17</v>
      </c>
      <c r="L31" t="s">
        <v>79</v>
      </c>
      <c r="M31">
        <v>278.48505309680189</v>
      </c>
      <c r="N31">
        <v>64.811428571428578</v>
      </c>
    </row>
    <row r="32" spans="1:14" x14ac:dyDescent="0.3">
      <c r="A32">
        <v>7031</v>
      </c>
      <c r="B32">
        <v>49</v>
      </c>
      <c r="C32" s="1">
        <v>45597</v>
      </c>
      <c r="D32" t="s">
        <v>26</v>
      </c>
      <c r="E32">
        <v>69.59</v>
      </c>
      <c r="F32">
        <v>5</v>
      </c>
      <c r="G32">
        <v>0</v>
      </c>
      <c r="H32">
        <v>144.37</v>
      </c>
      <c r="I32" t="s">
        <v>70</v>
      </c>
      <c r="J32" t="s">
        <v>31</v>
      </c>
      <c r="K32" t="s">
        <v>17</v>
      </c>
      <c r="L32" t="s">
        <v>71</v>
      </c>
      <c r="M32">
        <v>207.4579680988648</v>
      </c>
      <c r="N32">
        <v>28.873999999999999</v>
      </c>
    </row>
    <row r="33" spans="1:14" x14ac:dyDescent="0.3">
      <c r="A33">
        <v>7032</v>
      </c>
      <c r="B33">
        <v>37</v>
      </c>
      <c r="C33" s="1">
        <v>45493</v>
      </c>
      <c r="D33" t="s">
        <v>14</v>
      </c>
      <c r="E33">
        <v>288.11</v>
      </c>
      <c r="F33">
        <v>7</v>
      </c>
      <c r="G33">
        <v>0.1</v>
      </c>
      <c r="H33">
        <v>465.65</v>
      </c>
      <c r="I33" t="s">
        <v>80</v>
      </c>
      <c r="J33" t="s">
        <v>16</v>
      </c>
      <c r="K33" t="s">
        <v>17</v>
      </c>
      <c r="L33" t="s">
        <v>81</v>
      </c>
      <c r="M33">
        <v>161.62229703932519</v>
      </c>
      <c r="N33">
        <v>66.521428571428572</v>
      </c>
    </row>
    <row r="34" spans="1:14" x14ac:dyDescent="0.3">
      <c r="A34">
        <v>7033</v>
      </c>
      <c r="B34">
        <v>10</v>
      </c>
      <c r="C34" s="1">
        <v>45439</v>
      </c>
      <c r="D34" t="s">
        <v>26</v>
      </c>
      <c r="E34">
        <v>92.52</v>
      </c>
      <c r="F34">
        <v>1</v>
      </c>
      <c r="G34">
        <v>0.1</v>
      </c>
      <c r="H34">
        <v>26.36</v>
      </c>
      <c r="I34" t="s">
        <v>23</v>
      </c>
      <c r="J34" t="s">
        <v>24</v>
      </c>
      <c r="K34" t="s">
        <v>17</v>
      </c>
      <c r="L34" t="s">
        <v>25</v>
      </c>
      <c r="M34">
        <v>28.49113705144833</v>
      </c>
      <c r="N34">
        <v>26.36</v>
      </c>
    </row>
    <row r="35" spans="1:14" x14ac:dyDescent="0.3">
      <c r="A35">
        <v>7034</v>
      </c>
      <c r="B35">
        <v>31</v>
      </c>
      <c r="C35" s="1">
        <v>45401</v>
      </c>
      <c r="D35" t="s">
        <v>43</v>
      </c>
      <c r="E35">
        <v>30.38</v>
      </c>
      <c r="F35">
        <v>4</v>
      </c>
      <c r="G35">
        <v>0</v>
      </c>
      <c r="H35">
        <v>19.96</v>
      </c>
      <c r="I35" t="s">
        <v>82</v>
      </c>
      <c r="J35" t="s">
        <v>54</v>
      </c>
      <c r="K35" t="s">
        <v>32</v>
      </c>
      <c r="L35" t="s">
        <v>83</v>
      </c>
      <c r="M35">
        <v>65.701119157340358</v>
      </c>
      <c r="N35">
        <v>4.99</v>
      </c>
    </row>
    <row r="36" spans="1:14" x14ac:dyDescent="0.3">
      <c r="A36">
        <v>7035</v>
      </c>
      <c r="B36">
        <v>12</v>
      </c>
      <c r="C36" s="1">
        <v>45298</v>
      </c>
      <c r="D36" t="s">
        <v>26</v>
      </c>
      <c r="E36">
        <v>88.05</v>
      </c>
      <c r="F36">
        <v>6</v>
      </c>
      <c r="G36">
        <v>0.15</v>
      </c>
      <c r="H36">
        <v>142.74</v>
      </c>
      <c r="I36" t="s">
        <v>78</v>
      </c>
      <c r="J36" t="s">
        <v>64</v>
      </c>
      <c r="K36" t="s">
        <v>17</v>
      </c>
      <c r="L36" t="s">
        <v>79</v>
      </c>
      <c r="M36">
        <v>162.11243611584331</v>
      </c>
      <c r="N36">
        <v>23.79</v>
      </c>
    </row>
    <row r="37" spans="1:14" x14ac:dyDescent="0.3">
      <c r="A37">
        <v>7036</v>
      </c>
      <c r="B37">
        <v>19</v>
      </c>
      <c r="C37" s="1">
        <v>45591</v>
      </c>
      <c r="D37" t="s">
        <v>46</v>
      </c>
      <c r="E37">
        <v>194.74</v>
      </c>
      <c r="F37">
        <v>5</v>
      </c>
      <c r="G37">
        <v>0.15</v>
      </c>
      <c r="H37">
        <v>329.29</v>
      </c>
      <c r="I37" t="s">
        <v>84</v>
      </c>
      <c r="J37" t="s">
        <v>16</v>
      </c>
      <c r="K37" t="s">
        <v>17</v>
      </c>
      <c r="L37" t="s">
        <v>85</v>
      </c>
      <c r="M37">
        <v>169.09212283044059</v>
      </c>
      <c r="N37">
        <v>65.858000000000004</v>
      </c>
    </row>
    <row r="38" spans="1:14" x14ac:dyDescent="0.3">
      <c r="A38">
        <v>7037</v>
      </c>
      <c r="B38">
        <v>48</v>
      </c>
      <c r="C38" s="1">
        <v>45592</v>
      </c>
      <c r="D38" t="s">
        <v>43</v>
      </c>
      <c r="E38">
        <v>9.1199999999999992</v>
      </c>
      <c r="F38">
        <v>5</v>
      </c>
      <c r="G38">
        <v>0.05</v>
      </c>
      <c r="H38">
        <v>8.18</v>
      </c>
      <c r="I38" t="s">
        <v>86</v>
      </c>
      <c r="J38" t="s">
        <v>16</v>
      </c>
      <c r="K38" t="s">
        <v>39</v>
      </c>
      <c r="L38" t="s">
        <v>87</v>
      </c>
      <c r="M38">
        <v>89.692982456140356</v>
      </c>
      <c r="N38">
        <v>1.6359999999999999</v>
      </c>
    </row>
    <row r="39" spans="1:14" x14ac:dyDescent="0.3">
      <c r="A39">
        <v>7038</v>
      </c>
      <c r="B39">
        <v>59</v>
      </c>
      <c r="C39" s="1">
        <v>45401</v>
      </c>
      <c r="D39" t="s">
        <v>29</v>
      </c>
      <c r="E39">
        <v>255.78</v>
      </c>
      <c r="F39">
        <v>3</v>
      </c>
      <c r="G39">
        <v>0.1</v>
      </c>
      <c r="H39">
        <v>125.63</v>
      </c>
      <c r="I39" t="s">
        <v>59</v>
      </c>
      <c r="J39" t="s">
        <v>24</v>
      </c>
      <c r="K39" t="s">
        <v>17</v>
      </c>
      <c r="L39" t="s">
        <v>60</v>
      </c>
      <c r="M39">
        <v>49.116428180467587</v>
      </c>
      <c r="N39">
        <v>41.876666666666672</v>
      </c>
    </row>
    <row r="40" spans="1:14" x14ac:dyDescent="0.3">
      <c r="A40">
        <v>7039</v>
      </c>
      <c r="B40">
        <v>20</v>
      </c>
      <c r="C40" s="1">
        <v>45491</v>
      </c>
      <c r="D40" t="s">
        <v>29</v>
      </c>
      <c r="E40">
        <v>240.2</v>
      </c>
      <c r="F40">
        <v>4</v>
      </c>
      <c r="G40">
        <v>0.3</v>
      </c>
      <c r="H40">
        <v>201.53</v>
      </c>
      <c r="I40" t="s">
        <v>88</v>
      </c>
      <c r="J40" t="s">
        <v>54</v>
      </c>
      <c r="K40" t="s">
        <v>32</v>
      </c>
      <c r="L40" t="s">
        <v>89</v>
      </c>
      <c r="M40">
        <v>83.900915903413832</v>
      </c>
      <c r="N40">
        <v>50.3825</v>
      </c>
    </row>
    <row r="41" spans="1:14" x14ac:dyDescent="0.3">
      <c r="A41">
        <v>7040</v>
      </c>
      <c r="B41">
        <v>29</v>
      </c>
      <c r="C41" s="1">
        <v>45394</v>
      </c>
      <c r="D41" t="s">
        <v>14</v>
      </c>
      <c r="E41">
        <v>1134.44</v>
      </c>
      <c r="F41">
        <v>5</v>
      </c>
      <c r="G41">
        <v>0.15</v>
      </c>
      <c r="H41">
        <v>-1940.25</v>
      </c>
      <c r="I41" t="s">
        <v>61</v>
      </c>
      <c r="J41" t="s">
        <v>20</v>
      </c>
      <c r="K41" t="s">
        <v>39</v>
      </c>
      <c r="L41" t="s">
        <v>62</v>
      </c>
      <c r="M41">
        <v>-171.03152216071359</v>
      </c>
      <c r="N41">
        <v>-388.05</v>
      </c>
    </row>
    <row r="42" spans="1:14" x14ac:dyDescent="0.3">
      <c r="A42">
        <v>7041</v>
      </c>
      <c r="B42">
        <v>57</v>
      </c>
      <c r="C42" s="1">
        <v>45652</v>
      </c>
      <c r="D42" t="s">
        <v>14</v>
      </c>
      <c r="E42">
        <v>683.6</v>
      </c>
      <c r="F42">
        <v>6</v>
      </c>
      <c r="G42">
        <v>0.1</v>
      </c>
      <c r="H42">
        <v>1510.31</v>
      </c>
      <c r="I42" t="s">
        <v>90</v>
      </c>
      <c r="J42" t="s">
        <v>54</v>
      </c>
      <c r="K42" t="s">
        <v>39</v>
      </c>
      <c r="L42" t="s">
        <v>91</v>
      </c>
      <c r="M42">
        <v>220.93475716793441</v>
      </c>
      <c r="N42">
        <v>251.71833333333331</v>
      </c>
    </row>
    <row r="43" spans="1:14" x14ac:dyDescent="0.3">
      <c r="A43">
        <v>7042</v>
      </c>
      <c r="B43">
        <v>39</v>
      </c>
      <c r="C43" s="1">
        <v>45493</v>
      </c>
      <c r="D43" t="s">
        <v>26</v>
      </c>
      <c r="E43">
        <v>145.99</v>
      </c>
      <c r="F43">
        <v>5</v>
      </c>
      <c r="G43">
        <v>0</v>
      </c>
      <c r="H43">
        <v>227.81</v>
      </c>
      <c r="I43" t="s">
        <v>15</v>
      </c>
      <c r="J43" t="s">
        <v>16</v>
      </c>
      <c r="K43" t="s">
        <v>17</v>
      </c>
      <c r="L43" t="s">
        <v>18</v>
      </c>
      <c r="M43">
        <v>156.04493458456059</v>
      </c>
      <c r="N43">
        <v>45.561999999999998</v>
      </c>
    </row>
    <row r="44" spans="1:14" x14ac:dyDescent="0.3">
      <c r="A44">
        <v>7043</v>
      </c>
      <c r="B44">
        <v>25</v>
      </c>
      <c r="C44" s="1">
        <v>45371</v>
      </c>
      <c r="D44" t="s">
        <v>43</v>
      </c>
      <c r="E44">
        <v>55.85</v>
      </c>
      <c r="F44">
        <v>6</v>
      </c>
      <c r="G44">
        <v>0.15</v>
      </c>
      <c r="H44">
        <v>64.319999999999993</v>
      </c>
      <c r="I44" t="s">
        <v>53</v>
      </c>
      <c r="J44" t="s">
        <v>54</v>
      </c>
      <c r="K44" t="s">
        <v>17</v>
      </c>
      <c r="L44" t="s">
        <v>55</v>
      </c>
      <c r="M44">
        <v>115.1656222023276</v>
      </c>
      <c r="N44">
        <v>10.72</v>
      </c>
    </row>
    <row r="45" spans="1:14" x14ac:dyDescent="0.3">
      <c r="A45">
        <v>7044</v>
      </c>
      <c r="B45">
        <v>28</v>
      </c>
      <c r="C45" s="1">
        <v>45543</v>
      </c>
      <c r="D45" t="s">
        <v>22</v>
      </c>
      <c r="E45">
        <v>9.86</v>
      </c>
      <c r="F45">
        <v>6</v>
      </c>
      <c r="G45">
        <v>0.1</v>
      </c>
      <c r="H45">
        <v>11.88</v>
      </c>
      <c r="I45" t="s">
        <v>76</v>
      </c>
      <c r="J45" t="s">
        <v>24</v>
      </c>
      <c r="K45" t="s">
        <v>32</v>
      </c>
      <c r="L45" t="s">
        <v>77</v>
      </c>
      <c r="M45">
        <v>120.4868154158215</v>
      </c>
      <c r="N45">
        <v>1.98</v>
      </c>
    </row>
    <row r="46" spans="1:14" x14ac:dyDescent="0.3">
      <c r="A46">
        <v>7045</v>
      </c>
      <c r="B46">
        <v>69</v>
      </c>
      <c r="C46" s="1">
        <v>45332</v>
      </c>
      <c r="D46" t="s">
        <v>22</v>
      </c>
      <c r="E46">
        <v>91.77</v>
      </c>
      <c r="F46">
        <v>1</v>
      </c>
      <c r="G46">
        <v>0.05</v>
      </c>
      <c r="H46">
        <v>35.4</v>
      </c>
      <c r="I46" t="s">
        <v>63</v>
      </c>
      <c r="J46" t="s">
        <v>54</v>
      </c>
      <c r="K46" t="s">
        <v>64</v>
      </c>
      <c r="L46" t="s">
        <v>65</v>
      </c>
      <c r="M46">
        <v>38.57469761359922</v>
      </c>
      <c r="N46">
        <v>35.4</v>
      </c>
    </row>
    <row r="47" spans="1:14" x14ac:dyDescent="0.3">
      <c r="A47">
        <v>7046</v>
      </c>
      <c r="B47">
        <v>18</v>
      </c>
      <c r="C47" s="1">
        <v>45499</v>
      </c>
      <c r="D47" t="s">
        <v>43</v>
      </c>
      <c r="E47">
        <v>52.78</v>
      </c>
      <c r="F47">
        <v>7</v>
      </c>
      <c r="G47">
        <v>0</v>
      </c>
      <c r="H47">
        <v>56.48</v>
      </c>
      <c r="I47" t="s">
        <v>92</v>
      </c>
      <c r="J47" t="s">
        <v>20</v>
      </c>
      <c r="K47" t="s">
        <v>32</v>
      </c>
      <c r="L47" t="s">
        <v>93</v>
      </c>
      <c r="M47">
        <v>107.01023114816221</v>
      </c>
      <c r="N47">
        <v>8.0685714285714276</v>
      </c>
    </row>
    <row r="48" spans="1:14" x14ac:dyDescent="0.3">
      <c r="A48">
        <v>7047</v>
      </c>
      <c r="B48">
        <v>28</v>
      </c>
      <c r="C48" s="1">
        <v>45445</v>
      </c>
      <c r="D48" t="s">
        <v>26</v>
      </c>
      <c r="E48">
        <v>82.77</v>
      </c>
      <c r="F48">
        <v>1</v>
      </c>
      <c r="G48">
        <v>0.2</v>
      </c>
      <c r="H48">
        <v>25.71</v>
      </c>
      <c r="I48" t="s">
        <v>76</v>
      </c>
      <c r="J48" t="s">
        <v>24</v>
      </c>
      <c r="K48" t="s">
        <v>32</v>
      </c>
      <c r="L48" t="s">
        <v>77</v>
      </c>
      <c r="M48">
        <v>31.06197897789054</v>
      </c>
      <c r="N48">
        <v>25.71</v>
      </c>
    </row>
    <row r="49" spans="1:14" x14ac:dyDescent="0.3">
      <c r="A49">
        <v>7048</v>
      </c>
      <c r="B49">
        <v>66</v>
      </c>
      <c r="C49" s="1">
        <v>45577</v>
      </c>
      <c r="D49" t="s">
        <v>26</v>
      </c>
      <c r="E49">
        <v>41.63</v>
      </c>
      <c r="F49">
        <v>7</v>
      </c>
      <c r="G49">
        <v>0.15</v>
      </c>
      <c r="H49">
        <v>100.07</v>
      </c>
      <c r="I49" t="s">
        <v>74</v>
      </c>
      <c r="J49" t="s">
        <v>20</v>
      </c>
      <c r="K49" t="s">
        <v>32</v>
      </c>
      <c r="L49" t="s">
        <v>94</v>
      </c>
      <c r="M49">
        <v>240.3795339899111</v>
      </c>
      <c r="N49">
        <v>14.295714285714279</v>
      </c>
    </row>
    <row r="50" spans="1:14" x14ac:dyDescent="0.3">
      <c r="A50">
        <v>7049</v>
      </c>
      <c r="B50">
        <v>32</v>
      </c>
      <c r="C50" s="1">
        <v>45626</v>
      </c>
      <c r="D50" t="s">
        <v>22</v>
      </c>
      <c r="E50">
        <v>101.06</v>
      </c>
      <c r="F50">
        <v>7</v>
      </c>
      <c r="G50">
        <v>0.15</v>
      </c>
      <c r="H50">
        <v>260.18</v>
      </c>
      <c r="I50" t="s">
        <v>44</v>
      </c>
      <c r="J50" t="s">
        <v>24</v>
      </c>
      <c r="K50" t="s">
        <v>17</v>
      </c>
      <c r="L50" t="s">
        <v>45</v>
      </c>
      <c r="M50">
        <v>257.45101919651688</v>
      </c>
      <c r="N50">
        <v>37.168571428571433</v>
      </c>
    </row>
    <row r="51" spans="1:14" x14ac:dyDescent="0.3">
      <c r="A51">
        <v>7050</v>
      </c>
      <c r="B51">
        <v>60</v>
      </c>
      <c r="C51" s="1">
        <v>45469</v>
      </c>
      <c r="D51" t="s">
        <v>22</v>
      </c>
      <c r="E51">
        <v>113.97</v>
      </c>
      <c r="F51">
        <v>3</v>
      </c>
      <c r="G51">
        <v>0.2</v>
      </c>
      <c r="H51">
        <v>113.44</v>
      </c>
      <c r="I51" t="s">
        <v>95</v>
      </c>
      <c r="J51" t="s">
        <v>16</v>
      </c>
      <c r="K51" t="s">
        <v>32</v>
      </c>
      <c r="L51" t="s">
        <v>96</v>
      </c>
      <c r="M51">
        <v>99.534965341756603</v>
      </c>
      <c r="N51">
        <v>37.813333333333333</v>
      </c>
    </row>
    <row r="52" spans="1:14" x14ac:dyDescent="0.3">
      <c r="A52">
        <v>7051</v>
      </c>
      <c r="B52">
        <v>39</v>
      </c>
      <c r="C52" s="1">
        <v>45498</v>
      </c>
      <c r="D52" t="s">
        <v>29</v>
      </c>
      <c r="E52">
        <v>182.74</v>
      </c>
      <c r="F52">
        <v>6</v>
      </c>
      <c r="G52">
        <v>0</v>
      </c>
      <c r="H52">
        <v>314.20999999999998</v>
      </c>
      <c r="I52" t="s">
        <v>15</v>
      </c>
      <c r="J52" t="s">
        <v>16</v>
      </c>
      <c r="K52" t="s">
        <v>17</v>
      </c>
      <c r="L52" t="s">
        <v>18</v>
      </c>
      <c r="M52">
        <v>171.9437452117763</v>
      </c>
      <c r="N52">
        <v>52.368333333333332</v>
      </c>
    </row>
    <row r="53" spans="1:14" x14ac:dyDescent="0.3">
      <c r="A53">
        <v>7052</v>
      </c>
      <c r="B53">
        <v>21</v>
      </c>
      <c r="C53" s="1">
        <v>45413</v>
      </c>
      <c r="D53" t="s">
        <v>26</v>
      </c>
      <c r="E53">
        <v>64.209999999999994</v>
      </c>
      <c r="F53">
        <v>4</v>
      </c>
      <c r="G53">
        <v>0.05</v>
      </c>
      <c r="H53">
        <v>76.680000000000007</v>
      </c>
      <c r="I53" t="s">
        <v>97</v>
      </c>
      <c r="J53" t="s">
        <v>54</v>
      </c>
      <c r="K53" t="s">
        <v>17</v>
      </c>
      <c r="L53" t="s">
        <v>98</v>
      </c>
      <c r="M53">
        <v>119.4206509889425</v>
      </c>
      <c r="N53">
        <v>19.170000000000002</v>
      </c>
    </row>
    <row r="54" spans="1:14" x14ac:dyDescent="0.3">
      <c r="A54">
        <v>7053</v>
      </c>
      <c r="B54">
        <v>12</v>
      </c>
      <c r="C54" s="1">
        <v>45532</v>
      </c>
      <c r="D54" t="s">
        <v>26</v>
      </c>
      <c r="E54">
        <v>59.12</v>
      </c>
      <c r="F54">
        <v>1</v>
      </c>
      <c r="G54">
        <v>0.05</v>
      </c>
      <c r="H54">
        <v>13.59</v>
      </c>
      <c r="I54" t="s">
        <v>78</v>
      </c>
      <c r="J54" t="s">
        <v>64</v>
      </c>
      <c r="K54" t="s">
        <v>17</v>
      </c>
      <c r="L54" t="s">
        <v>79</v>
      </c>
      <c r="M54">
        <v>22.987144790257101</v>
      </c>
      <c r="N54">
        <v>13.59</v>
      </c>
    </row>
    <row r="55" spans="1:14" x14ac:dyDescent="0.3">
      <c r="A55">
        <v>7054</v>
      </c>
      <c r="B55">
        <v>67</v>
      </c>
      <c r="C55" s="1">
        <v>45420</v>
      </c>
      <c r="D55" t="s">
        <v>22</v>
      </c>
      <c r="E55">
        <v>12.32</v>
      </c>
      <c r="F55">
        <v>4</v>
      </c>
      <c r="G55">
        <v>0.1</v>
      </c>
      <c r="H55">
        <v>15.06</v>
      </c>
      <c r="I55" t="s">
        <v>99</v>
      </c>
      <c r="J55" t="s">
        <v>16</v>
      </c>
      <c r="K55" t="s">
        <v>39</v>
      </c>
      <c r="L55" t="s">
        <v>100</v>
      </c>
      <c r="M55">
        <v>122.2402597402597</v>
      </c>
      <c r="N55">
        <v>3.7650000000000001</v>
      </c>
    </row>
    <row r="56" spans="1:14" x14ac:dyDescent="0.3">
      <c r="A56">
        <v>7055</v>
      </c>
      <c r="B56">
        <v>3</v>
      </c>
      <c r="C56" s="1">
        <v>45540</v>
      </c>
      <c r="D56" t="s">
        <v>26</v>
      </c>
      <c r="E56">
        <v>72.37</v>
      </c>
      <c r="F56">
        <v>2</v>
      </c>
      <c r="G56">
        <v>0.1</v>
      </c>
      <c r="H56">
        <v>55.45</v>
      </c>
      <c r="I56" t="s">
        <v>19</v>
      </c>
      <c r="J56" t="s">
        <v>20</v>
      </c>
      <c r="K56" t="s">
        <v>17</v>
      </c>
      <c r="L56" t="s">
        <v>21</v>
      </c>
      <c r="M56">
        <v>76.620146469531562</v>
      </c>
      <c r="N56">
        <v>27.725000000000001</v>
      </c>
    </row>
    <row r="57" spans="1:14" x14ac:dyDescent="0.3">
      <c r="A57">
        <v>7056</v>
      </c>
      <c r="B57">
        <v>65</v>
      </c>
      <c r="C57" s="1">
        <v>45595</v>
      </c>
      <c r="D57" t="s">
        <v>22</v>
      </c>
      <c r="E57">
        <v>40.83</v>
      </c>
      <c r="F57">
        <v>6</v>
      </c>
      <c r="G57">
        <v>0.05</v>
      </c>
      <c r="H57">
        <v>84.84</v>
      </c>
      <c r="I57" t="s">
        <v>101</v>
      </c>
      <c r="J57" t="s">
        <v>54</v>
      </c>
      <c r="K57" t="s">
        <v>17</v>
      </c>
      <c r="L57" t="s">
        <v>102</v>
      </c>
      <c r="M57">
        <v>207.78839088905221</v>
      </c>
      <c r="N57">
        <v>14.14</v>
      </c>
    </row>
    <row r="58" spans="1:14" x14ac:dyDescent="0.3">
      <c r="A58">
        <v>7057</v>
      </c>
      <c r="B58">
        <v>28</v>
      </c>
      <c r="C58" s="1">
        <v>45324</v>
      </c>
      <c r="D58" t="s">
        <v>14</v>
      </c>
      <c r="E58">
        <v>853.18</v>
      </c>
      <c r="F58">
        <v>2</v>
      </c>
      <c r="G58">
        <v>0.05</v>
      </c>
      <c r="H58">
        <v>363.95</v>
      </c>
      <c r="I58" t="s">
        <v>76</v>
      </c>
      <c r="J58" t="s">
        <v>24</v>
      </c>
      <c r="K58" t="s">
        <v>32</v>
      </c>
      <c r="L58" t="s">
        <v>77</v>
      </c>
      <c r="M58">
        <v>42.658055744391568</v>
      </c>
      <c r="N58">
        <v>181.97499999999999</v>
      </c>
    </row>
    <row r="59" spans="1:14" x14ac:dyDescent="0.3">
      <c r="A59">
        <v>7058</v>
      </c>
      <c r="B59">
        <v>65</v>
      </c>
      <c r="C59" s="1">
        <v>45532</v>
      </c>
      <c r="D59" t="s">
        <v>22</v>
      </c>
      <c r="E59">
        <v>113.9</v>
      </c>
      <c r="F59">
        <v>7</v>
      </c>
      <c r="G59">
        <v>0.1</v>
      </c>
      <c r="H59">
        <v>261.8</v>
      </c>
      <c r="I59" t="s">
        <v>101</v>
      </c>
      <c r="J59" t="s">
        <v>54</v>
      </c>
      <c r="K59" t="s">
        <v>17</v>
      </c>
      <c r="L59" t="s">
        <v>102</v>
      </c>
      <c r="M59">
        <v>229.85074626865671</v>
      </c>
      <c r="N59">
        <v>37.4</v>
      </c>
    </row>
    <row r="60" spans="1:14" x14ac:dyDescent="0.3">
      <c r="A60">
        <v>7059</v>
      </c>
      <c r="B60">
        <v>9</v>
      </c>
      <c r="C60" s="1">
        <v>45604</v>
      </c>
      <c r="D60" t="s">
        <v>22</v>
      </c>
      <c r="E60">
        <v>65.66</v>
      </c>
      <c r="F60">
        <v>4</v>
      </c>
      <c r="G60">
        <v>0.15</v>
      </c>
      <c r="H60">
        <v>63.23</v>
      </c>
      <c r="I60" t="s">
        <v>103</v>
      </c>
      <c r="J60" t="s">
        <v>24</v>
      </c>
      <c r="K60" t="s">
        <v>17</v>
      </c>
      <c r="L60" t="s">
        <v>104</v>
      </c>
      <c r="M60">
        <v>96.299116661590006</v>
      </c>
      <c r="N60">
        <v>15.807499999999999</v>
      </c>
    </row>
    <row r="61" spans="1:14" x14ac:dyDescent="0.3">
      <c r="A61">
        <v>7060</v>
      </c>
      <c r="B61">
        <v>69</v>
      </c>
      <c r="C61" s="1">
        <v>45425</v>
      </c>
      <c r="D61" t="s">
        <v>26</v>
      </c>
      <c r="E61">
        <v>78.260000000000005</v>
      </c>
      <c r="F61">
        <v>3</v>
      </c>
      <c r="G61">
        <v>0.15</v>
      </c>
      <c r="H61">
        <v>87.11</v>
      </c>
      <c r="I61" t="s">
        <v>63</v>
      </c>
      <c r="J61" t="s">
        <v>54</v>
      </c>
      <c r="K61" t="s">
        <v>64</v>
      </c>
      <c r="L61" t="s">
        <v>65</v>
      </c>
      <c r="M61">
        <v>111.3084589828776</v>
      </c>
      <c r="N61">
        <v>29.036666666666669</v>
      </c>
    </row>
    <row r="62" spans="1:14" x14ac:dyDescent="0.3">
      <c r="A62">
        <v>7061</v>
      </c>
      <c r="B62">
        <v>5</v>
      </c>
      <c r="C62" s="1">
        <v>45465</v>
      </c>
      <c r="D62" t="s">
        <v>14</v>
      </c>
      <c r="E62">
        <v>1018.75</v>
      </c>
      <c r="F62">
        <v>1</v>
      </c>
      <c r="G62">
        <v>0.1</v>
      </c>
      <c r="H62">
        <v>-134.69999999999999</v>
      </c>
      <c r="I62" t="s">
        <v>105</v>
      </c>
      <c r="J62" t="s">
        <v>54</v>
      </c>
      <c r="K62" t="s">
        <v>17</v>
      </c>
      <c r="L62" t="s">
        <v>106</v>
      </c>
      <c r="M62">
        <v>-13.22208588957055</v>
      </c>
      <c r="N62">
        <v>-134.69999999999999</v>
      </c>
    </row>
    <row r="63" spans="1:14" x14ac:dyDescent="0.3">
      <c r="A63">
        <v>7062</v>
      </c>
      <c r="B63">
        <v>34</v>
      </c>
      <c r="C63" s="1">
        <v>45455</v>
      </c>
      <c r="D63" t="s">
        <v>46</v>
      </c>
      <c r="E63">
        <v>366.08</v>
      </c>
      <c r="F63">
        <v>2</v>
      </c>
      <c r="G63">
        <v>0</v>
      </c>
      <c r="H63">
        <v>261.98</v>
      </c>
      <c r="I63" t="s">
        <v>107</v>
      </c>
      <c r="J63" t="s">
        <v>20</v>
      </c>
      <c r="K63" t="s">
        <v>39</v>
      </c>
      <c r="L63" t="s">
        <v>108</v>
      </c>
      <c r="M63">
        <v>71.563592657342667</v>
      </c>
      <c r="N63">
        <v>130.99</v>
      </c>
    </row>
    <row r="64" spans="1:14" x14ac:dyDescent="0.3">
      <c r="A64">
        <v>7063</v>
      </c>
      <c r="B64">
        <v>52</v>
      </c>
      <c r="C64" s="1">
        <v>45508</v>
      </c>
      <c r="D64" t="s">
        <v>26</v>
      </c>
      <c r="E64">
        <v>149.24</v>
      </c>
      <c r="F64">
        <v>2</v>
      </c>
      <c r="G64">
        <v>0.1</v>
      </c>
      <c r="H64">
        <v>60.86</v>
      </c>
      <c r="I64" t="s">
        <v>109</v>
      </c>
      <c r="J64" t="s">
        <v>24</v>
      </c>
      <c r="K64" t="s">
        <v>17</v>
      </c>
      <c r="L64" t="s">
        <v>110</v>
      </c>
      <c r="M64">
        <v>40.779951755561513</v>
      </c>
      <c r="N64">
        <v>30.43</v>
      </c>
    </row>
    <row r="65" spans="1:14" x14ac:dyDescent="0.3">
      <c r="A65">
        <v>7064</v>
      </c>
      <c r="B65">
        <v>59</v>
      </c>
      <c r="C65" s="1">
        <v>45322</v>
      </c>
      <c r="D65" t="s">
        <v>26</v>
      </c>
      <c r="E65">
        <v>147.47999999999999</v>
      </c>
      <c r="F65">
        <v>1</v>
      </c>
      <c r="G65">
        <v>0.1</v>
      </c>
      <c r="H65">
        <v>45.79</v>
      </c>
      <c r="I65" t="s">
        <v>59</v>
      </c>
      <c r="J65" t="s">
        <v>24</v>
      </c>
      <c r="K65" t="s">
        <v>17</v>
      </c>
      <c r="L65" t="s">
        <v>60</v>
      </c>
      <c r="M65">
        <v>31.048277732573911</v>
      </c>
      <c r="N65">
        <v>45.79</v>
      </c>
    </row>
    <row r="66" spans="1:14" x14ac:dyDescent="0.3">
      <c r="A66">
        <v>7065</v>
      </c>
      <c r="B66">
        <v>46</v>
      </c>
      <c r="C66" s="1">
        <v>45645</v>
      </c>
      <c r="D66" t="s">
        <v>46</v>
      </c>
      <c r="E66">
        <v>370.18</v>
      </c>
      <c r="F66">
        <v>6</v>
      </c>
      <c r="G66">
        <v>0</v>
      </c>
      <c r="H66">
        <v>402.18</v>
      </c>
      <c r="I66" t="s">
        <v>111</v>
      </c>
      <c r="J66" t="s">
        <v>20</v>
      </c>
      <c r="K66" t="s">
        <v>17</v>
      </c>
      <c r="L66" t="s">
        <v>112</v>
      </c>
      <c r="M66">
        <v>108.6444432438273</v>
      </c>
      <c r="N66">
        <v>67.03</v>
      </c>
    </row>
    <row r="67" spans="1:14" x14ac:dyDescent="0.3">
      <c r="A67">
        <v>7066</v>
      </c>
      <c r="B67">
        <v>69</v>
      </c>
      <c r="C67" s="1">
        <v>45446</v>
      </c>
      <c r="D67" t="s">
        <v>14</v>
      </c>
      <c r="E67">
        <v>159.32</v>
      </c>
      <c r="F67">
        <v>3</v>
      </c>
      <c r="G67">
        <v>0.1</v>
      </c>
      <c r="H67">
        <v>73.290000000000006</v>
      </c>
      <c r="I67" t="s">
        <v>63</v>
      </c>
      <c r="J67" t="s">
        <v>54</v>
      </c>
      <c r="K67" t="s">
        <v>64</v>
      </c>
      <c r="L67" t="s">
        <v>65</v>
      </c>
      <c r="M67">
        <v>46.001757469244289</v>
      </c>
      <c r="N67">
        <v>24.43</v>
      </c>
    </row>
    <row r="68" spans="1:14" x14ac:dyDescent="0.3">
      <c r="A68">
        <v>7067</v>
      </c>
      <c r="B68">
        <v>12</v>
      </c>
      <c r="C68" s="1">
        <v>45335</v>
      </c>
      <c r="D68" t="s">
        <v>29</v>
      </c>
      <c r="E68">
        <v>213.25</v>
      </c>
      <c r="F68">
        <v>7</v>
      </c>
      <c r="G68">
        <v>0.05</v>
      </c>
      <c r="H68">
        <v>502.4</v>
      </c>
      <c r="I68" t="s">
        <v>78</v>
      </c>
      <c r="J68" t="s">
        <v>64</v>
      </c>
      <c r="K68" t="s">
        <v>17</v>
      </c>
      <c r="L68" t="s">
        <v>79</v>
      </c>
      <c r="M68">
        <v>235.5920281359906</v>
      </c>
      <c r="N68">
        <v>71.771428571428572</v>
      </c>
    </row>
    <row r="69" spans="1:14" x14ac:dyDescent="0.3">
      <c r="A69">
        <v>7068</v>
      </c>
      <c r="B69">
        <v>38</v>
      </c>
      <c r="C69" s="1">
        <v>45366</v>
      </c>
      <c r="D69" t="s">
        <v>14</v>
      </c>
      <c r="E69">
        <v>336.19</v>
      </c>
      <c r="F69">
        <v>2</v>
      </c>
      <c r="G69">
        <v>0</v>
      </c>
      <c r="H69">
        <v>151.19</v>
      </c>
      <c r="I69" t="s">
        <v>34</v>
      </c>
      <c r="J69" t="s">
        <v>16</v>
      </c>
      <c r="K69" t="s">
        <v>32</v>
      </c>
      <c r="L69" t="s">
        <v>35</v>
      </c>
      <c r="M69">
        <v>44.971593444183348</v>
      </c>
      <c r="N69">
        <v>75.594999999999999</v>
      </c>
    </row>
    <row r="70" spans="1:14" x14ac:dyDescent="0.3">
      <c r="A70">
        <v>7069</v>
      </c>
      <c r="B70">
        <v>59</v>
      </c>
      <c r="C70" s="1">
        <v>45413</v>
      </c>
      <c r="D70" t="s">
        <v>26</v>
      </c>
      <c r="E70">
        <v>64.760000000000005</v>
      </c>
      <c r="F70">
        <v>3</v>
      </c>
      <c r="G70">
        <v>0</v>
      </c>
      <c r="H70">
        <v>29.92</v>
      </c>
      <c r="I70" t="s">
        <v>59</v>
      </c>
      <c r="J70" t="s">
        <v>24</v>
      </c>
      <c r="K70" t="s">
        <v>17</v>
      </c>
      <c r="L70" t="s">
        <v>60</v>
      </c>
      <c r="M70">
        <v>46.201358863495983</v>
      </c>
      <c r="N70">
        <v>9.9733333333333345</v>
      </c>
    </row>
    <row r="71" spans="1:14" x14ac:dyDescent="0.3">
      <c r="A71">
        <v>7070</v>
      </c>
      <c r="B71">
        <v>15</v>
      </c>
      <c r="C71" s="1">
        <v>45640</v>
      </c>
      <c r="D71" t="s">
        <v>14</v>
      </c>
      <c r="E71">
        <v>540.66999999999996</v>
      </c>
      <c r="F71">
        <v>6</v>
      </c>
      <c r="G71">
        <v>0.15</v>
      </c>
      <c r="H71">
        <v>1163.74</v>
      </c>
      <c r="I71" t="s">
        <v>113</v>
      </c>
      <c r="J71" t="s">
        <v>24</v>
      </c>
      <c r="K71" t="s">
        <v>17</v>
      </c>
      <c r="L71" t="s">
        <v>114</v>
      </c>
      <c r="M71">
        <v>215.24034993619031</v>
      </c>
      <c r="N71">
        <v>193.95666666666671</v>
      </c>
    </row>
    <row r="72" spans="1:14" x14ac:dyDescent="0.3">
      <c r="A72">
        <v>7071</v>
      </c>
      <c r="B72">
        <v>48</v>
      </c>
      <c r="C72" s="1">
        <v>45480</v>
      </c>
      <c r="D72" t="s">
        <v>14</v>
      </c>
      <c r="E72">
        <v>237.7</v>
      </c>
      <c r="F72">
        <v>4</v>
      </c>
      <c r="G72">
        <v>0.3</v>
      </c>
      <c r="H72">
        <v>255.25</v>
      </c>
      <c r="I72" t="s">
        <v>86</v>
      </c>
      <c r="J72" t="s">
        <v>16</v>
      </c>
      <c r="K72" t="s">
        <v>39</v>
      </c>
      <c r="L72" t="s">
        <v>87</v>
      </c>
      <c r="M72">
        <v>107.3832562053008</v>
      </c>
      <c r="N72">
        <v>63.8125</v>
      </c>
    </row>
    <row r="73" spans="1:14" x14ac:dyDescent="0.3">
      <c r="A73">
        <v>7072</v>
      </c>
      <c r="B73">
        <v>12</v>
      </c>
      <c r="C73" s="1">
        <v>45504</v>
      </c>
      <c r="D73" t="s">
        <v>26</v>
      </c>
      <c r="E73">
        <v>111.81</v>
      </c>
      <c r="F73">
        <v>1</v>
      </c>
      <c r="G73">
        <v>0.2</v>
      </c>
      <c r="H73">
        <v>28.22</v>
      </c>
      <c r="I73" t="s">
        <v>78</v>
      </c>
      <c r="J73" t="s">
        <v>64</v>
      </c>
      <c r="K73" t="s">
        <v>17</v>
      </c>
      <c r="L73" t="s">
        <v>79</v>
      </c>
      <c r="M73">
        <v>25.239245148018959</v>
      </c>
      <c r="N73">
        <v>28.22</v>
      </c>
    </row>
    <row r="74" spans="1:14" x14ac:dyDescent="0.3">
      <c r="A74">
        <v>7073</v>
      </c>
      <c r="B74">
        <v>31</v>
      </c>
      <c r="C74" s="1">
        <v>45550</v>
      </c>
      <c r="D74" t="s">
        <v>46</v>
      </c>
      <c r="E74">
        <v>397.69</v>
      </c>
      <c r="F74">
        <v>1</v>
      </c>
      <c r="G74">
        <v>0.1</v>
      </c>
      <c r="H74">
        <v>66.94</v>
      </c>
      <c r="I74" t="s">
        <v>82</v>
      </c>
      <c r="J74" t="s">
        <v>54</v>
      </c>
      <c r="K74" t="s">
        <v>32</v>
      </c>
      <c r="L74" t="s">
        <v>83</v>
      </c>
      <c r="M74">
        <v>16.83220598958988</v>
      </c>
      <c r="N74">
        <v>66.94</v>
      </c>
    </row>
    <row r="75" spans="1:14" x14ac:dyDescent="0.3">
      <c r="A75">
        <v>7074</v>
      </c>
      <c r="B75">
        <v>12</v>
      </c>
      <c r="C75" s="1">
        <v>45318</v>
      </c>
      <c r="D75" t="s">
        <v>22</v>
      </c>
      <c r="E75">
        <v>65.59</v>
      </c>
      <c r="F75">
        <v>5</v>
      </c>
      <c r="G75">
        <v>0.05</v>
      </c>
      <c r="H75">
        <v>93.7</v>
      </c>
      <c r="I75" t="s">
        <v>78</v>
      </c>
      <c r="J75" t="s">
        <v>64</v>
      </c>
      <c r="K75" t="s">
        <v>17</v>
      </c>
      <c r="L75" t="s">
        <v>79</v>
      </c>
      <c r="M75">
        <v>142.85714285714289</v>
      </c>
      <c r="N75">
        <v>18.739999999999998</v>
      </c>
    </row>
    <row r="76" spans="1:14" x14ac:dyDescent="0.3">
      <c r="A76">
        <v>7075</v>
      </c>
      <c r="B76">
        <v>3</v>
      </c>
      <c r="C76" s="1">
        <v>45400</v>
      </c>
      <c r="D76" t="s">
        <v>46</v>
      </c>
      <c r="E76">
        <v>254.96</v>
      </c>
      <c r="F76">
        <v>1</v>
      </c>
      <c r="G76">
        <v>0.1</v>
      </c>
      <c r="H76">
        <v>-35.1</v>
      </c>
      <c r="I76" t="s">
        <v>19</v>
      </c>
      <c r="J76" t="s">
        <v>20</v>
      </c>
      <c r="K76" t="s">
        <v>17</v>
      </c>
      <c r="L76" t="s">
        <v>21</v>
      </c>
      <c r="M76">
        <v>-13.76686539064951</v>
      </c>
      <c r="N76">
        <v>-35.1</v>
      </c>
    </row>
    <row r="77" spans="1:14" x14ac:dyDescent="0.3">
      <c r="A77">
        <v>7076</v>
      </c>
      <c r="B77">
        <v>24</v>
      </c>
      <c r="C77" s="1">
        <v>45324</v>
      </c>
      <c r="D77" t="s">
        <v>26</v>
      </c>
      <c r="E77">
        <v>125.71</v>
      </c>
      <c r="F77">
        <v>3</v>
      </c>
      <c r="G77">
        <v>0.1</v>
      </c>
      <c r="H77">
        <v>87.9</v>
      </c>
      <c r="I77" t="s">
        <v>47</v>
      </c>
      <c r="J77" t="s">
        <v>20</v>
      </c>
      <c r="K77" t="s">
        <v>32</v>
      </c>
      <c r="L77" t="s">
        <v>48</v>
      </c>
      <c r="M77">
        <v>69.922838278577686</v>
      </c>
      <c r="N77">
        <v>29.3</v>
      </c>
    </row>
    <row r="78" spans="1:14" x14ac:dyDescent="0.3">
      <c r="A78">
        <v>7077</v>
      </c>
      <c r="B78">
        <v>17</v>
      </c>
      <c r="C78" s="1">
        <v>45637</v>
      </c>
      <c r="D78" t="s">
        <v>26</v>
      </c>
      <c r="E78">
        <v>38.81</v>
      </c>
      <c r="F78">
        <v>4</v>
      </c>
      <c r="G78">
        <v>0.3</v>
      </c>
      <c r="H78">
        <v>16.55</v>
      </c>
      <c r="I78" t="s">
        <v>68</v>
      </c>
      <c r="J78" t="s">
        <v>54</v>
      </c>
      <c r="K78" t="s">
        <v>17</v>
      </c>
      <c r="L78" t="s">
        <v>115</v>
      </c>
      <c r="M78">
        <v>42.643648544189638</v>
      </c>
      <c r="N78">
        <v>4.1375000000000002</v>
      </c>
    </row>
    <row r="79" spans="1:14" x14ac:dyDescent="0.3">
      <c r="A79">
        <v>7078</v>
      </c>
      <c r="B79">
        <v>33</v>
      </c>
      <c r="C79" s="1">
        <v>45522</v>
      </c>
      <c r="D79" t="s">
        <v>26</v>
      </c>
      <c r="E79">
        <v>125.48</v>
      </c>
      <c r="F79">
        <v>6</v>
      </c>
      <c r="G79">
        <v>0</v>
      </c>
      <c r="H79">
        <v>182.74</v>
      </c>
      <c r="I79" t="s">
        <v>58</v>
      </c>
      <c r="J79" t="s">
        <v>24</v>
      </c>
      <c r="K79" t="s">
        <v>17</v>
      </c>
      <c r="L79" t="s">
        <v>40</v>
      </c>
      <c r="M79">
        <v>145.6327701625757</v>
      </c>
      <c r="N79">
        <v>30.456666666666671</v>
      </c>
    </row>
    <row r="80" spans="1:14" x14ac:dyDescent="0.3">
      <c r="A80">
        <v>7079</v>
      </c>
      <c r="B80">
        <v>49</v>
      </c>
      <c r="C80" s="1">
        <v>45377</v>
      </c>
      <c r="D80" t="s">
        <v>43</v>
      </c>
      <c r="E80">
        <v>34.99</v>
      </c>
      <c r="F80">
        <v>6</v>
      </c>
      <c r="G80">
        <v>0</v>
      </c>
      <c r="H80">
        <v>54.17</v>
      </c>
      <c r="I80" t="s">
        <v>70</v>
      </c>
      <c r="J80" t="s">
        <v>31</v>
      </c>
      <c r="K80" t="s">
        <v>17</v>
      </c>
      <c r="L80" t="s">
        <v>71</v>
      </c>
      <c r="M80">
        <v>154.815661617605</v>
      </c>
      <c r="N80">
        <v>9.0283333333333342</v>
      </c>
    </row>
    <row r="81" spans="1:14" x14ac:dyDescent="0.3">
      <c r="A81">
        <v>7080</v>
      </c>
      <c r="B81">
        <v>8</v>
      </c>
      <c r="C81" s="1">
        <v>45461</v>
      </c>
      <c r="D81" t="s">
        <v>46</v>
      </c>
      <c r="E81">
        <v>235.3</v>
      </c>
      <c r="F81">
        <v>2</v>
      </c>
      <c r="G81">
        <v>0.15</v>
      </c>
      <c r="H81">
        <v>76.040000000000006</v>
      </c>
      <c r="I81" t="s">
        <v>116</v>
      </c>
      <c r="J81" t="s">
        <v>31</v>
      </c>
      <c r="K81" t="s">
        <v>17</v>
      </c>
      <c r="L81" t="s">
        <v>117</v>
      </c>
      <c r="M81">
        <v>32.316192095197621</v>
      </c>
      <c r="N81">
        <v>38.020000000000003</v>
      </c>
    </row>
    <row r="82" spans="1:14" x14ac:dyDescent="0.3">
      <c r="A82">
        <v>7081</v>
      </c>
      <c r="B82">
        <v>66</v>
      </c>
      <c r="C82" s="1">
        <v>45440</v>
      </c>
      <c r="D82" t="s">
        <v>14</v>
      </c>
      <c r="E82">
        <v>1119.24</v>
      </c>
      <c r="F82">
        <v>7</v>
      </c>
      <c r="G82">
        <v>0.05</v>
      </c>
      <c r="H82">
        <v>2900.87</v>
      </c>
      <c r="I82" t="s">
        <v>74</v>
      </c>
      <c r="J82" t="s">
        <v>20</v>
      </c>
      <c r="K82" t="s">
        <v>32</v>
      </c>
      <c r="L82" t="s">
        <v>94</v>
      </c>
      <c r="M82">
        <v>259.18212358386052</v>
      </c>
      <c r="N82">
        <v>414.41</v>
      </c>
    </row>
    <row r="83" spans="1:14" x14ac:dyDescent="0.3">
      <c r="A83">
        <v>7082</v>
      </c>
      <c r="B83">
        <v>14</v>
      </c>
      <c r="C83" s="1">
        <v>45571</v>
      </c>
      <c r="D83" t="s">
        <v>46</v>
      </c>
      <c r="E83">
        <v>295.89</v>
      </c>
      <c r="F83">
        <v>5</v>
      </c>
      <c r="G83">
        <v>0.05</v>
      </c>
      <c r="H83">
        <v>264.25</v>
      </c>
      <c r="I83" t="s">
        <v>41</v>
      </c>
      <c r="J83" t="s">
        <v>24</v>
      </c>
      <c r="K83" t="s">
        <v>17</v>
      </c>
      <c r="L83" t="s">
        <v>42</v>
      </c>
      <c r="M83">
        <v>89.306837000236584</v>
      </c>
      <c r="N83">
        <v>52.85</v>
      </c>
    </row>
    <row r="84" spans="1:14" x14ac:dyDescent="0.3">
      <c r="A84">
        <v>7083</v>
      </c>
      <c r="B84">
        <v>49</v>
      </c>
      <c r="C84" s="1">
        <v>45446</v>
      </c>
      <c r="D84" t="s">
        <v>46</v>
      </c>
      <c r="E84">
        <v>399.41</v>
      </c>
      <c r="F84">
        <v>2</v>
      </c>
      <c r="G84">
        <v>0</v>
      </c>
      <c r="H84">
        <v>348.65</v>
      </c>
      <c r="I84" t="s">
        <v>70</v>
      </c>
      <c r="J84" t="s">
        <v>31</v>
      </c>
      <c r="K84" t="s">
        <v>17</v>
      </c>
      <c r="L84" t="s">
        <v>71</v>
      </c>
      <c r="M84">
        <v>87.29125460053578</v>
      </c>
      <c r="N84">
        <v>174.32499999999999</v>
      </c>
    </row>
    <row r="85" spans="1:14" x14ac:dyDescent="0.3">
      <c r="A85">
        <v>7084</v>
      </c>
      <c r="B85">
        <v>42</v>
      </c>
      <c r="C85" s="1">
        <v>45543</v>
      </c>
      <c r="D85" t="s">
        <v>46</v>
      </c>
      <c r="E85">
        <v>271.25</v>
      </c>
      <c r="F85">
        <v>7</v>
      </c>
      <c r="G85">
        <v>0.1</v>
      </c>
      <c r="H85">
        <v>538.55999999999995</v>
      </c>
      <c r="I85" t="s">
        <v>49</v>
      </c>
      <c r="J85" t="s">
        <v>31</v>
      </c>
      <c r="K85" t="s">
        <v>17</v>
      </c>
      <c r="L85" t="s">
        <v>50</v>
      </c>
      <c r="M85">
        <v>198.54746543778799</v>
      </c>
      <c r="N85">
        <v>76.937142857142845</v>
      </c>
    </row>
    <row r="86" spans="1:14" x14ac:dyDescent="0.3">
      <c r="A86">
        <v>7085</v>
      </c>
      <c r="B86">
        <v>20</v>
      </c>
      <c r="C86" s="1">
        <v>45647</v>
      </c>
      <c r="D86" t="s">
        <v>46</v>
      </c>
      <c r="E86">
        <v>73.430000000000007</v>
      </c>
      <c r="F86">
        <v>3</v>
      </c>
      <c r="G86">
        <v>0.1</v>
      </c>
      <c r="H86">
        <v>71.709999999999994</v>
      </c>
      <c r="I86" t="s">
        <v>88</v>
      </c>
      <c r="J86" t="s">
        <v>54</v>
      </c>
      <c r="K86" t="s">
        <v>32</v>
      </c>
      <c r="L86" t="s">
        <v>89</v>
      </c>
      <c r="M86">
        <v>97.657633119978186</v>
      </c>
      <c r="N86">
        <v>23.903333333333329</v>
      </c>
    </row>
    <row r="87" spans="1:14" x14ac:dyDescent="0.3">
      <c r="A87">
        <v>7086</v>
      </c>
      <c r="B87">
        <v>24</v>
      </c>
      <c r="C87" s="1">
        <v>45608</v>
      </c>
      <c r="D87" t="s">
        <v>46</v>
      </c>
      <c r="E87">
        <v>348.16</v>
      </c>
      <c r="F87">
        <v>3</v>
      </c>
      <c r="G87">
        <v>0.15</v>
      </c>
      <c r="H87">
        <v>304.63</v>
      </c>
      <c r="I87" t="s">
        <v>47</v>
      </c>
      <c r="J87" t="s">
        <v>20</v>
      </c>
      <c r="K87" t="s">
        <v>32</v>
      </c>
      <c r="L87" t="s">
        <v>48</v>
      </c>
      <c r="M87">
        <v>87.497127757352928</v>
      </c>
      <c r="N87">
        <v>101.54333333333329</v>
      </c>
    </row>
    <row r="88" spans="1:14" x14ac:dyDescent="0.3">
      <c r="A88">
        <v>7087</v>
      </c>
      <c r="B88">
        <v>12</v>
      </c>
      <c r="C88" s="1">
        <v>45495</v>
      </c>
      <c r="D88" t="s">
        <v>26</v>
      </c>
      <c r="E88">
        <v>57.03</v>
      </c>
      <c r="F88">
        <v>4</v>
      </c>
      <c r="G88">
        <v>0.05</v>
      </c>
      <c r="H88">
        <v>80.150000000000006</v>
      </c>
      <c r="I88" t="s">
        <v>78</v>
      </c>
      <c r="J88" t="s">
        <v>64</v>
      </c>
      <c r="K88" t="s">
        <v>17</v>
      </c>
      <c r="L88" t="s">
        <v>79</v>
      </c>
      <c r="M88">
        <v>140.5400666315974</v>
      </c>
      <c r="N88">
        <v>20.037500000000001</v>
      </c>
    </row>
    <row r="89" spans="1:14" x14ac:dyDescent="0.3">
      <c r="A89">
        <v>7088</v>
      </c>
      <c r="B89">
        <v>50</v>
      </c>
      <c r="C89" s="1">
        <v>45488</v>
      </c>
      <c r="D89" t="s">
        <v>14</v>
      </c>
      <c r="E89">
        <v>379.81</v>
      </c>
      <c r="F89">
        <v>1</v>
      </c>
      <c r="G89">
        <v>0</v>
      </c>
      <c r="H89">
        <v>165.53</v>
      </c>
      <c r="I89" t="s">
        <v>118</v>
      </c>
      <c r="J89" t="s">
        <v>16</v>
      </c>
      <c r="K89" t="s">
        <v>17</v>
      </c>
      <c r="L89" t="s">
        <v>119</v>
      </c>
      <c r="M89">
        <v>43.582317474526739</v>
      </c>
      <c r="N89">
        <v>165.53</v>
      </c>
    </row>
    <row r="90" spans="1:14" x14ac:dyDescent="0.3">
      <c r="A90">
        <v>7089</v>
      </c>
      <c r="B90">
        <v>34</v>
      </c>
      <c r="C90" s="1">
        <v>45632</v>
      </c>
      <c r="D90" t="s">
        <v>14</v>
      </c>
      <c r="E90">
        <v>67.58</v>
      </c>
      <c r="F90">
        <v>2</v>
      </c>
      <c r="G90">
        <v>0</v>
      </c>
      <c r="H90">
        <v>20.41</v>
      </c>
      <c r="I90" t="s">
        <v>107</v>
      </c>
      <c r="J90" t="s">
        <v>20</v>
      </c>
      <c r="K90" t="s">
        <v>39</v>
      </c>
      <c r="L90" t="s">
        <v>108</v>
      </c>
      <c r="M90">
        <v>30.20124297129329</v>
      </c>
      <c r="N90">
        <v>10.205</v>
      </c>
    </row>
    <row r="91" spans="1:14" x14ac:dyDescent="0.3">
      <c r="A91">
        <v>7090</v>
      </c>
      <c r="B91">
        <v>3</v>
      </c>
      <c r="C91" s="1">
        <v>45487</v>
      </c>
      <c r="D91" t="s">
        <v>43</v>
      </c>
      <c r="E91">
        <v>7.65</v>
      </c>
      <c r="F91">
        <v>1</v>
      </c>
      <c r="G91">
        <v>0</v>
      </c>
      <c r="H91">
        <v>1.88</v>
      </c>
      <c r="I91" t="s">
        <v>19</v>
      </c>
      <c r="J91" t="s">
        <v>20</v>
      </c>
      <c r="K91" t="s">
        <v>17</v>
      </c>
      <c r="L91" t="s">
        <v>21</v>
      </c>
      <c r="M91">
        <v>24.575163398692808</v>
      </c>
      <c r="N91">
        <v>1.88</v>
      </c>
    </row>
    <row r="92" spans="1:14" x14ac:dyDescent="0.3">
      <c r="A92">
        <v>7091</v>
      </c>
      <c r="B92">
        <v>60</v>
      </c>
      <c r="C92" s="1">
        <v>45637</v>
      </c>
      <c r="D92" t="s">
        <v>26</v>
      </c>
      <c r="E92">
        <v>139.53</v>
      </c>
      <c r="F92">
        <v>5</v>
      </c>
      <c r="G92">
        <v>0.05</v>
      </c>
      <c r="H92">
        <v>184.17</v>
      </c>
      <c r="I92" t="s">
        <v>95</v>
      </c>
      <c r="J92" t="s">
        <v>16</v>
      </c>
      <c r="K92" t="s">
        <v>32</v>
      </c>
      <c r="L92" t="s">
        <v>96</v>
      </c>
      <c r="M92">
        <v>131.99311975919159</v>
      </c>
      <c r="N92">
        <v>36.834000000000003</v>
      </c>
    </row>
    <row r="93" spans="1:14" x14ac:dyDescent="0.3">
      <c r="A93">
        <v>7092</v>
      </c>
      <c r="B93">
        <v>14</v>
      </c>
      <c r="C93" s="1">
        <v>45417</v>
      </c>
      <c r="D93" t="s">
        <v>43</v>
      </c>
      <c r="E93">
        <v>27.91</v>
      </c>
      <c r="F93">
        <v>2</v>
      </c>
      <c r="G93">
        <v>0</v>
      </c>
      <c r="H93">
        <v>-17.61</v>
      </c>
      <c r="I93" t="s">
        <v>41</v>
      </c>
      <c r="J93" t="s">
        <v>24</v>
      </c>
      <c r="K93" t="s">
        <v>17</v>
      </c>
      <c r="L93" t="s">
        <v>42</v>
      </c>
      <c r="M93">
        <v>-63.095664636331058</v>
      </c>
      <c r="N93">
        <v>-8.8049999999999997</v>
      </c>
    </row>
    <row r="94" spans="1:14" x14ac:dyDescent="0.3">
      <c r="A94">
        <v>7093</v>
      </c>
      <c r="B94">
        <v>69</v>
      </c>
      <c r="C94" s="1">
        <v>45392</v>
      </c>
      <c r="D94" t="s">
        <v>46</v>
      </c>
      <c r="E94">
        <v>129.13999999999999</v>
      </c>
      <c r="F94">
        <v>4</v>
      </c>
      <c r="G94">
        <v>0.05</v>
      </c>
      <c r="H94">
        <v>90.73</v>
      </c>
      <c r="I94" t="s">
        <v>63</v>
      </c>
      <c r="J94" t="s">
        <v>54</v>
      </c>
      <c r="K94" t="s">
        <v>64</v>
      </c>
      <c r="L94" t="s">
        <v>65</v>
      </c>
      <c r="M94">
        <v>70.257085333746332</v>
      </c>
      <c r="N94">
        <v>22.682500000000001</v>
      </c>
    </row>
    <row r="95" spans="1:14" x14ac:dyDescent="0.3">
      <c r="A95">
        <v>7094</v>
      </c>
      <c r="B95">
        <v>41</v>
      </c>
      <c r="C95" s="1">
        <v>45463</v>
      </c>
      <c r="D95" t="s">
        <v>46</v>
      </c>
      <c r="E95">
        <v>306.06</v>
      </c>
      <c r="F95">
        <v>5</v>
      </c>
      <c r="G95">
        <v>0</v>
      </c>
      <c r="H95">
        <v>263.95</v>
      </c>
      <c r="I95" t="s">
        <v>120</v>
      </c>
      <c r="J95" t="s">
        <v>16</v>
      </c>
      <c r="K95" t="s">
        <v>32</v>
      </c>
      <c r="L95" t="s">
        <v>121</v>
      </c>
      <c r="M95">
        <v>86.241259883682929</v>
      </c>
      <c r="N95">
        <v>52.79</v>
      </c>
    </row>
    <row r="96" spans="1:14" x14ac:dyDescent="0.3">
      <c r="A96">
        <v>7095</v>
      </c>
      <c r="B96">
        <v>65</v>
      </c>
      <c r="C96" s="1">
        <v>45614</v>
      </c>
      <c r="D96" t="s">
        <v>43</v>
      </c>
      <c r="E96">
        <v>47.19</v>
      </c>
      <c r="F96">
        <v>5</v>
      </c>
      <c r="G96">
        <v>0.05</v>
      </c>
      <c r="H96">
        <v>53.91</v>
      </c>
      <c r="I96" t="s">
        <v>101</v>
      </c>
      <c r="J96" t="s">
        <v>54</v>
      </c>
      <c r="K96" t="s">
        <v>17</v>
      </c>
      <c r="L96" t="s">
        <v>102</v>
      </c>
      <c r="M96">
        <v>114.24030514939609</v>
      </c>
      <c r="N96">
        <v>10.782</v>
      </c>
    </row>
    <row r="97" spans="1:14" x14ac:dyDescent="0.3">
      <c r="A97">
        <v>7096</v>
      </c>
      <c r="B97">
        <v>50</v>
      </c>
      <c r="C97" s="1">
        <v>45369</v>
      </c>
      <c r="D97" t="s">
        <v>14</v>
      </c>
      <c r="E97">
        <v>721.47</v>
      </c>
      <c r="F97">
        <v>6</v>
      </c>
      <c r="G97">
        <v>0</v>
      </c>
      <c r="H97">
        <v>1107.2</v>
      </c>
      <c r="I97" t="s">
        <v>118</v>
      </c>
      <c r="J97" t="s">
        <v>16</v>
      </c>
      <c r="K97" t="s">
        <v>17</v>
      </c>
      <c r="L97" t="s">
        <v>119</v>
      </c>
      <c r="M97">
        <v>153.4644545164733</v>
      </c>
      <c r="N97">
        <v>184.5333333333333</v>
      </c>
    </row>
    <row r="98" spans="1:14" x14ac:dyDescent="0.3">
      <c r="A98">
        <v>7097</v>
      </c>
      <c r="B98">
        <v>40</v>
      </c>
      <c r="C98" s="1">
        <v>45642</v>
      </c>
      <c r="D98" t="s">
        <v>14</v>
      </c>
      <c r="E98">
        <v>191.56</v>
      </c>
      <c r="F98">
        <v>3</v>
      </c>
      <c r="G98">
        <v>0.1</v>
      </c>
      <c r="H98">
        <v>144.38999999999999</v>
      </c>
      <c r="I98" t="s">
        <v>122</v>
      </c>
      <c r="J98" t="s">
        <v>54</v>
      </c>
      <c r="K98" t="s">
        <v>32</v>
      </c>
      <c r="L98" t="s">
        <v>123</v>
      </c>
      <c r="M98">
        <v>75.375861348924616</v>
      </c>
      <c r="N98">
        <v>48.13</v>
      </c>
    </row>
    <row r="99" spans="1:14" x14ac:dyDescent="0.3">
      <c r="A99">
        <v>7098</v>
      </c>
      <c r="B99">
        <v>15</v>
      </c>
      <c r="C99" s="1">
        <v>45336</v>
      </c>
      <c r="D99" t="s">
        <v>46</v>
      </c>
      <c r="E99">
        <v>390.29</v>
      </c>
      <c r="F99">
        <v>2</v>
      </c>
      <c r="G99">
        <v>0.15</v>
      </c>
      <c r="H99">
        <v>123.09</v>
      </c>
      <c r="I99" t="s">
        <v>113</v>
      </c>
      <c r="J99" t="s">
        <v>24</v>
      </c>
      <c r="K99" t="s">
        <v>17</v>
      </c>
      <c r="L99" t="s">
        <v>114</v>
      </c>
      <c r="M99">
        <v>31.538087063465621</v>
      </c>
      <c r="N99">
        <v>61.545000000000002</v>
      </c>
    </row>
    <row r="100" spans="1:14" x14ac:dyDescent="0.3">
      <c r="A100">
        <v>7099</v>
      </c>
      <c r="B100">
        <v>11</v>
      </c>
      <c r="C100" s="1">
        <v>45554</v>
      </c>
      <c r="D100" t="s">
        <v>22</v>
      </c>
      <c r="E100">
        <v>7.42</v>
      </c>
      <c r="F100">
        <v>1</v>
      </c>
      <c r="G100">
        <v>0</v>
      </c>
      <c r="H100">
        <v>1.56</v>
      </c>
      <c r="I100" t="s">
        <v>124</v>
      </c>
      <c r="J100" t="s">
        <v>20</v>
      </c>
      <c r="K100" t="s">
        <v>32</v>
      </c>
      <c r="L100" t="s">
        <v>125</v>
      </c>
      <c r="M100">
        <v>21.02425876010782</v>
      </c>
      <c r="N100">
        <v>1.56</v>
      </c>
    </row>
    <row r="101" spans="1:14" x14ac:dyDescent="0.3">
      <c r="A101">
        <v>7100</v>
      </c>
      <c r="B101">
        <v>27</v>
      </c>
      <c r="C101" s="1">
        <v>45294</v>
      </c>
      <c r="D101" t="s">
        <v>46</v>
      </c>
      <c r="E101">
        <v>331.72</v>
      </c>
      <c r="F101">
        <v>1</v>
      </c>
      <c r="G101">
        <v>0.15</v>
      </c>
      <c r="H101">
        <v>115.08</v>
      </c>
      <c r="I101" t="s">
        <v>126</v>
      </c>
      <c r="J101" t="s">
        <v>20</v>
      </c>
      <c r="K101" t="s">
        <v>64</v>
      </c>
      <c r="L101" t="s">
        <v>100</v>
      </c>
      <c r="M101">
        <v>34.691908838779689</v>
      </c>
      <c r="N101">
        <v>115.08</v>
      </c>
    </row>
    <row r="102" spans="1:14" x14ac:dyDescent="0.3">
      <c r="A102">
        <v>7101</v>
      </c>
      <c r="B102">
        <v>11</v>
      </c>
      <c r="C102" s="1">
        <v>45607</v>
      </c>
      <c r="D102" t="s">
        <v>14</v>
      </c>
      <c r="E102">
        <v>839.43</v>
      </c>
      <c r="F102">
        <v>6</v>
      </c>
      <c r="G102">
        <v>0.15</v>
      </c>
      <c r="H102">
        <v>831.11</v>
      </c>
      <c r="I102" t="s">
        <v>124</v>
      </c>
      <c r="J102" t="s">
        <v>20</v>
      </c>
      <c r="K102" t="s">
        <v>32</v>
      </c>
      <c r="L102" t="s">
        <v>125</v>
      </c>
      <c r="M102">
        <v>99.008851244296736</v>
      </c>
      <c r="N102">
        <v>138.51833333333329</v>
      </c>
    </row>
    <row r="103" spans="1:14" x14ac:dyDescent="0.3">
      <c r="A103">
        <v>7102</v>
      </c>
      <c r="B103">
        <v>59</v>
      </c>
      <c r="C103" s="1">
        <v>45323</v>
      </c>
      <c r="D103" t="s">
        <v>26</v>
      </c>
      <c r="E103">
        <v>16.600000000000001</v>
      </c>
      <c r="F103">
        <v>7</v>
      </c>
      <c r="G103">
        <v>0.15</v>
      </c>
      <c r="H103">
        <v>41.27</v>
      </c>
      <c r="I103" t="s">
        <v>59</v>
      </c>
      <c r="J103" t="s">
        <v>24</v>
      </c>
      <c r="K103" t="s">
        <v>17</v>
      </c>
      <c r="L103" t="s">
        <v>60</v>
      </c>
      <c r="M103">
        <v>248.6144578313253</v>
      </c>
      <c r="N103">
        <v>5.8957142857142859</v>
      </c>
    </row>
    <row r="104" spans="1:14" x14ac:dyDescent="0.3">
      <c r="A104">
        <v>7103</v>
      </c>
      <c r="B104">
        <v>67</v>
      </c>
      <c r="C104" s="1">
        <v>45379</v>
      </c>
      <c r="D104" t="s">
        <v>26</v>
      </c>
      <c r="E104">
        <v>81.37</v>
      </c>
      <c r="F104">
        <v>7</v>
      </c>
      <c r="G104">
        <v>0</v>
      </c>
      <c r="H104">
        <v>171.63</v>
      </c>
      <c r="I104" t="s">
        <v>99</v>
      </c>
      <c r="J104" t="s">
        <v>16</v>
      </c>
      <c r="K104" t="s">
        <v>39</v>
      </c>
      <c r="L104" t="s">
        <v>100</v>
      </c>
      <c r="M104">
        <v>210.92540248248741</v>
      </c>
      <c r="N104">
        <v>24.51857142857143</v>
      </c>
    </row>
    <row r="105" spans="1:14" x14ac:dyDescent="0.3">
      <c r="A105">
        <v>7104</v>
      </c>
      <c r="B105">
        <v>9</v>
      </c>
      <c r="C105" s="1">
        <v>45604</v>
      </c>
      <c r="D105" t="s">
        <v>26</v>
      </c>
      <c r="E105">
        <v>26.45</v>
      </c>
      <c r="F105">
        <v>4</v>
      </c>
      <c r="G105">
        <v>0.1</v>
      </c>
      <c r="H105">
        <v>36.229999999999997</v>
      </c>
      <c r="I105" t="s">
        <v>103</v>
      </c>
      <c r="J105" t="s">
        <v>24</v>
      </c>
      <c r="K105" t="s">
        <v>17</v>
      </c>
      <c r="L105" t="s">
        <v>104</v>
      </c>
      <c r="M105">
        <v>136.97542533081281</v>
      </c>
      <c r="N105">
        <v>9.0574999999999992</v>
      </c>
    </row>
    <row r="106" spans="1:14" x14ac:dyDescent="0.3">
      <c r="A106">
        <v>7105</v>
      </c>
      <c r="B106">
        <v>35</v>
      </c>
      <c r="C106" s="1">
        <v>45550</v>
      </c>
      <c r="D106" t="s">
        <v>14</v>
      </c>
      <c r="E106">
        <v>457.83</v>
      </c>
      <c r="F106">
        <v>4</v>
      </c>
      <c r="G106">
        <v>0.05</v>
      </c>
      <c r="H106">
        <v>437.42</v>
      </c>
      <c r="I106" t="s">
        <v>127</v>
      </c>
      <c r="J106" t="s">
        <v>20</v>
      </c>
      <c r="K106" t="s">
        <v>32</v>
      </c>
      <c r="L106" t="s">
        <v>128</v>
      </c>
      <c r="M106">
        <v>95.54201341109146</v>
      </c>
      <c r="N106">
        <v>109.355</v>
      </c>
    </row>
    <row r="107" spans="1:14" x14ac:dyDescent="0.3">
      <c r="A107">
        <v>7106</v>
      </c>
      <c r="B107">
        <v>61</v>
      </c>
      <c r="C107" s="1">
        <v>45593</v>
      </c>
      <c r="D107" t="s">
        <v>22</v>
      </c>
      <c r="E107">
        <v>20.99</v>
      </c>
      <c r="F107">
        <v>6</v>
      </c>
      <c r="G107">
        <v>0.15</v>
      </c>
      <c r="H107">
        <v>32.799999999999997</v>
      </c>
      <c r="I107" t="s">
        <v>129</v>
      </c>
      <c r="J107" t="s">
        <v>24</v>
      </c>
      <c r="K107" t="s">
        <v>32</v>
      </c>
      <c r="L107" t="s">
        <v>130</v>
      </c>
      <c r="M107">
        <v>156.26488804192471</v>
      </c>
      <c r="N107">
        <v>5.4666666666666659</v>
      </c>
    </row>
    <row r="108" spans="1:14" x14ac:dyDescent="0.3">
      <c r="A108">
        <v>7107</v>
      </c>
      <c r="B108">
        <v>54</v>
      </c>
      <c r="C108" s="1">
        <v>45398</v>
      </c>
      <c r="D108" t="s">
        <v>46</v>
      </c>
      <c r="E108">
        <v>111.73</v>
      </c>
      <c r="F108">
        <v>1</v>
      </c>
      <c r="G108">
        <v>0.2</v>
      </c>
      <c r="H108">
        <v>22.58</v>
      </c>
      <c r="I108" t="s">
        <v>131</v>
      </c>
      <c r="J108" t="s">
        <v>24</v>
      </c>
      <c r="K108" t="s">
        <v>32</v>
      </c>
      <c r="L108" t="s">
        <v>132</v>
      </c>
      <c r="M108">
        <v>20.209433455652011</v>
      </c>
      <c r="N108">
        <v>22.58</v>
      </c>
    </row>
    <row r="109" spans="1:14" x14ac:dyDescent="0.3">
      <c r="A109">
        <v>7108</v>
      </c>
      <c r="B109">
        <v>41</v>
      </c>
      <c r="C109" s="1">
        <v>45569</v>
      </c>
      <c r="D109" t="s">
        <v>29</v>
      </c>
      <c r="E109">
        <v>93.58</v>
      </c>
      <c r="F109">
        <v>2</v>
      </c>
      <c r="G109">
        <v>0.05</v>
      </c>
      <c r="H109">
        <v>27.68</v>
      </c>
      <c r="I109" t="s">
        <v>120</v>
      </c>
      <c r="J109" t="s">
        <v>16</v>
      </c>
      <c r="K109" t="s">
        <v>32</v>
      </c>
      <c r="L109" t="s">
        <v>121</v>
      </c>
      <c r="M109">
        <v>29.578969865355852</v>
      </c>
      <c r="N109">
        <v>13.84</v>
      </c>
    </row>
    <row r="110" spans="1:14" x14ac:dyDescent="0.3">
      <c r="A110">
        <v>7109</v>
      </c>
      <c r="B110">
        <v>43</v>
      </c>
      <c r="C110" s="1">
        <v>45379</v>
      </c>
      <c r="D110" t="s">
        <v>46</v>
      </c>
      <c r="E110">
        <v>370.77</v>
      </c>
      <c r="F110">
        <v>7</v>
      </c>
      <c r="G110">
        <v>0</v>
      </c>
      <c r="H110">
        <v>581.89</v>
      </c>
      <c r="I110" t="s">
        <v>66</v>
      </c>
      <c r="J110" t="s">
        <v>20</v>
      </c>
      <c r="K110" t="s">
        <v>39</v>
      </c>
      <c r="L110" t="s">
        <v>67</v>
      </c>
      <c r="M110">
        <v>156.940960703401</v>
      </c>
      <c r="N110">
        <v>83.127142857142857</v>
      </c>
    </row>
    <row r="111" spans="1:14" x14ac:dyDescent="0.3">
      <c r="A111">
        <v>7110</v>
      </c>
      <c r="B111">
        <v>40</v>
      </c>
      <c r="C111" s="1">
        <v>45478</v>
      </c>
      <c r="D111" t="s">
        <v>29</v>
      </c>
      <c r="E111">
        <v>77.16</v>
      </c>
      <c r="F111">
        <v>1</v>
      </c>
      <c r="G111">
        <v>0.05</v>
      </c>
      <c r="H111">
        <v>22.76</v>
      </c>
      <c r="I111" t="s">
        <v>122</v>
      </c>
      <c r="J111" t="s">
        <v>54</v>
      </c>
      <c r="K111" t="s">
        <v>32</v>
      </c>
      <c r="L111" t="s">
        <v>123</v>
      </c>
      <c r="M111">
        <v>29.497148781752209</v>
      </c>
      <c r="N111">
        <v>22.76</v>
      </c>
    </row>
    <row r="112" spans="1:14" x14ac:dyDescent="0.3">
      <c r="A112">
        <v>7111</v>
      </c>
      <c r="B112">
        <v>67</v>
      </c>
      <c r="C112" s="1">
        <v>45495</v>
      </c>
      <c r="D112" t="s">
        <v>43</v>
      </c>
      <c r="E112">
        <v>40.85</v>
      </c>
      <c r="F112">
        <v>3</v>
      </c>
      <c r="G112">
        <v>0.15</v>
      </c>
      <c r="H112">
        <v>23.31</v>
      </c>
      <c r="I112" t="s">
        <v>99</v>
      </c>
      <c r="J112" t="s">
        <v>16</v>
      </c>
      <c r="K112" t="s">
        <v>39</v>
      </c>
      <c r="L112" t="s">
        <v>100</v>
      </c>
      <c r="M112">
        <v>57.062423500611992</v>
      </c>
      <c r="N112">
        <v>7.77</v>
      </c>
    </row>
    <row r="113" spans="1:14" x14ac:dyDescent="0.3">
      <c r="A113">
        <v>7112</v>
      </c>
      <c r="B113">
        <v>57</v>
      </c>
      <c r="C113" s="1">
        <v>45500</v>
      </c>
      <c r="D113" t="s">
        <v>22</v>
      </c>
      <c r="E113">
        <v>110.37</v>
      </c>
      <c r="F113">
        <v>1</v>
      </c>
      <c r="G113">
        <v>0.05</v>
      </c>
      <c r="H113">
        <v>45.19</v>
      </c>
      <c r="I113" t="s">
        <v>90</v>
      </c>
      <c r="J113" t="s">
        <v>54</v>
      </c>
      <c r="K113" t="s">
        <v>39</v>
      </c>
      <c r="L113" t="s">
        <v>91</v>
      </c>
      <c r="M113">
        <v>40.944097127842703</v>
      </c>
      <c r="N113">
        <v>45.19</v>
      </c>
    </row>
    <row r="114" spans="1:14" x14ac:dyDescent="0.3">
      <c r="A114">
        <v>7113</v>
      </c>
      <c r="B114">
        <v>55</v>
      </c>
      <c r="C114" s="1">
        <v>45391</v>
      </c>
      <c r="D114" t="s">
        <v>26</v>
      </c>
      <c r="E114">
        <v>125.66</v>
      </c>
      <c r="F114">
        <v>6</v>
      </c>
      <c r="G114">
        <v>0.05</v>
      </c>
      <c r="H114">
        <v>-521.4</v>
      </c>
      <c r="I114" t="s">
        <v>133</v>
      </c>
      <c r="J114" t="s">
        <v>64</v>
      </c>
      <c r="K114" t="s">
        <v>64</v>
      </c>
      <c r="L114" t="s">
        <v>134</v>
      </c>
      <c r="M114">
        <v>-414.92917396148329</v>
      </c>
      <c r="N114">
        <v>-86.899999999999991</v>
      </c>
    </row>
    <row r="115" spans="1:14" x14ac:dyDescent="0.3">
      <c r="A115">
        <v>7114</v>
      </c>
      <c r="B115">
        <v>31</v>
      </c>
      <c r="C115" s="1">
        <v>45483</v>
      </c>
      <c r="D115" t="s">
        <v>14</v>
      </c>
      <c r="E115">
        <v>533.97</v>
      </c>
      <c r="F115">
        <v>1</v>
      </c>
      <c r="G115">
        <v>0.05</v>
      </c>
      <c r="H115">
        <v>210.5</v>
      </c>
      <c r="I115" t="s">
        <v>82</v>
      </c>
      <c r="J115" t="s">
        <v>54</v>
      </c>
      <c r="K115" t="s">
        <v>32</v>
      </c>
      <c r="L115" t="s">
        <v>83</v>
      </c>
      <c r="M115">
        <v>39.421690357136171</v>
      </c>
      <c r="N115">
        <v>210.5</v>
      </c>
    </row>
    <row r="116" spans="1:14" x14ac:dyDescent="0.3">
      <c r="A116">
        <v>7115</v>
      </c>
      <c r="B116">
        <v>35</v>
      </c>
      <c r="C116" s="1">
        <v>45410</v>
      </c>
      <c r="D116" t="s">
        <v>29</v>
      </c>
      <c r="E116">
        <v>35.69</v>
      </c>
      <c r="F116">
        <v>6</v>
      </c>
      <c r="G116">
        <v>0.2</v>
      </c>
      <c r="H116">
        <v>65.81</v>
      </c>
      <c r="I116" t="s">
        <v>127</v>
      </c>
      <c r="J116" t="s">
        <v>20</v>
      </c>
      <c r="K116" t="s">
        <v>32</v>
      </c>
      <c r="L116" t="s">
        <v>128</v>
      </c>
      <c r="M116">
        <v>184.3933875035024</v>
      </c>
      <c r="N116">
        <v>10.96833333333333</v>
      </c>
    </row>
    <row r="117" spans="1:14" x14ac:dyDescent="0.3">
      <c r="A117">
        <v>7116</v>
      </c>
      <c r="B117">
        <v>67</v>
      </c>
      <c r="C117" s="1">
        <v>45555</v>
      </c>
      <c r="D117" t="s">
        <v>26</v>
      </c>
      <c r="E117">
        <v>93.34</v>
      </c>
      <c r="F117">
        <v>4</v>
      </c>
      <c r="G117">
        <v>0.05</v>
      </c>
      <c r="H117">
        <v>56.17</v>
      </c>
      <c r="I117" t="s">
        <v>99</v>
      </c>
      <c r="J117" t="s">
        <v>16</v>
      </c>
      <c r="K117" t="s">
        <v>39</v>
      </c>
      <c r="L117" t="s">
        <v>100</v>
      </c>
      <c r="M117">
        <v>60.177844439682879</v>
      </c>
      <c r="N117">
        <v>14.0425</v>
      </c>
    </row>
    <row r="118" spans="1:14" x14ac:dyDescent="0.3">
      <c r="A118">
        <v>7117</v>
      </c>
      <c r="B118">
        <v>27</v>
      </c>
      <c r="C118" s="1">
        <v>45315</v>
      </c>
      <c r="D118" t="s">
        <v>22</v>
      </c>
      <c r="E118">
        <v>75.239999999999995</v>
      </c>
      <c r="F118">
        <v>3</v>
      </c>
      <c r="G118">
        <v>0.1</v>
      </c>
      <c r="H118">
        <v>85.67</v>
      </c>
      <c r="I118" t="s">
        <v>126</v>
      </c>
      <c r="J118" t="s">
        <v>20</v>
      </c>
      <c r="K118" t="s">
        <v>64</v>
      </c>
      <c r="L118" t="s">
        <v>100</v>
      </c>
      <c r="M118">
        <v>113.8623072833599</v>
      </c>
      <c r="N118">
        <v>28.556666666666668</v>
      </c>
    </row>
    <row r="119" spans="1:14" x14ac:dyDescent="0.3">
      <c r="A119">
        <v>7118</v>
      </c>
      <c r="B119">
        <v>62</v>
      </c>
      <c r="C119" s="1">
        <v>45435</v>
      </c>
      <c r="D119" t="s">
        <v>46</v>
      </c>
      <c r="E119">
        <v>314.13</v>
      </c>
      <c r="F119">
        <v>3</v>
      </c>
      <c r="G119">
        <v>0.3</v>
      </c>
      <c r="H119">
        <v>239.74</v>
      </c>
      <c r="I119" t="s">
        <v>72</v>
      </c>
      <c r="J119" t="s">
        <v>54</v>
      </c>
      <c r="K119" t="s">
        <v>39</v>
      </c>
      <c r="L119" t="s">
        <v>73</v>
      </c>
      <c r="M119">
        <v>76.318721548403531</v>
      </c>
      <c r="N119">
        <v>79.913333333333341</v>
      </c>
    </row>
    <row r="120" spans="1:14" x14ac:dyDescent="0.3">
      <c r="A120">
        <v>7119</v>
      </c>
      <c r="B120">
        <v>23</v>
      </c>
      <c r="C120" s="1">
        <v>45626</v>
      </c>
      <c r="D120" t="s">
        <v>22</v>
      </c>
      <c r="E120">
        <v>7.38</v>
      </c>
      <c r="F120">
        <v>7</v>
      </c>
      <c r="G120">
        <v>0.15</v>
      </c>
      <c r="H120">
        <v>15.19</v>
      </c>
      <c r="I120" t="s">
        <v>135</v>
      </c>
      <c r="J120" t="s">
        <v>64</v>
      </c>
      <c r="K120" t="s">
        <v>32</v>
      </c>
      <c r="L120" t="s">
        <v>136</v>
      </c>
      <c r="M120">
        <v>205.82655826558269</v>
      </c>
      <c r="N120">
        <v>2.17</v>
      </c>
    </row>
    <row r="121" spans="1:14" x14ac:dyDescent="0.3">
      <c r="A121">
        <v>7120</v>
      </c>
      <c r="B121">
        <v>3</v>
      </c>
      <c r="C121" s="1">
        <v>45552</v>
      </c>
      <c r="D121" t="s">
        <v>43</v>
      </c>
      <c r="E121">
        <v>52.24</v>
      </c>
      <c r="F121">
        <v>2</v>
      </c>
      <c r="G121">
        <v>0.15</v>
      </c>
      <c r="H121">
        <v>-20.52</v>
      </c>
      <c r="I121" t="s">
        <v>19</v>
      </c>
      <c r="J121" t="s">
        <v>20</v>
      </c>
      <c r="K121" t="s">
        <v>17</v>
      </c>
      <c r="L121" t="s">
        <v>21</v>
      </c>
      <c r="M121">
        <v>-39.280245022970902</v>
      </c>
      <c r="N121">
        <v>-10.26</v>
      </c>
    </row>
    <row r="122" spans="1:14" x14ac:dyDescent="0.3">
      <c r="A122">
        <v>7121</v>
      </c>
      <c r="B122">
        <v>43</v>
      </c>
      <c r="C122" s="1">
        <v>45379</v>
      </c>
      <c r="D122" t="s">
        <v>26</v>
      </c>
      <c r="E122">
        <v>112.58</v>
      </c>
      <c r="F122">
        <v>4</v>
      </c>
      <c r="G122">
        <v>0</v>
      </c>
      <c r="H122">
        <v>75.64</v>
      </c>
      <c r="I122" t="s">
        <v>66</v>
      </c>
      <c r="J122" t="s">
        <v>20</v>
      </c>
      <c r="K122" t="s">
        <v>39</v>
      </c>
      <c r="L122" t="s">
        <v>67</v>
      </c>
      <c r="M122">
        <v>67.187777580387291</v>
      </c>
      <c r="N122">
        <v>18.91</v>
      </c>
    </row>
    <row r="123" spans="1:14" x14ac:dyDescent="0.3">
      <c r="A123">
        <v>7122</v>
      </c>
      <c r="B123">
        <v>20</v>
      </c>
      <c r="C123" s="1">
        <v>45339</v>
      </c>
      <c r="D123" t="s">
        <v>26</v>
      </c>
      <c r="E123">
        <v>128.63</v>
      </c>
      <c r="F123">
        <v>3</v>
      </c>
      <c r="G123">
        <v>0.05</v>
      </c>
      <c r="H123">
        <v>148.82</v>
      </c>
      <c r="I123" t="s">
        <v>88</v>
      </c>
      <c r="J123" t="s">
        <v>54</v>
      </c>
      <c r="K123" t="s">
        <v>32</v>
      </c>
      <c r="L123" t="s">
        <v>89</v>
      </c>
      <c r="M123">
        <v>115.696182850035</v>
      </c>
      <c r="N123">
        <v>49.606666666666662</v>
      </c>
    </row>
    <row r="124" spans="1:14" x14ac:dyDescent="0.3">
      <c r="A124">
        <v>7123</v>
      </c>
      <c r="B124">
        <v>40</v>
      </c>
      <c r="C124" s="1">
        <v>45603</v>
      </c>
      <c r="D124" t="s">
        <v>26</v>
      </c>
      <c r="E124">
        <v>100.15</v>
      </c>
      <c r="F124">
        <v>3</v>
      </c>
      <c r="G124">
        <v>0</v>
      </c>
      <c r="H124">
        <v>66.28</v>
      </c>
      <c r="I124" t="s">
        <v>122</v>
      </c>
      <c r="J124" t="s">
        <v>54</v>
      </c>
      <c r="K124" t="s">
        <v>32</v>
      </c>
      <c r="L124" t="s">
        <v>123</v>
      </c>
      <c r="M124">
        <v>66.180728906640041</v>
      </c>
      <c r="N124">
        <v>22.09333333333333</v>
      </c>
    </row>
    <row r="125" spans="1:14" x14ac:dyDescent="0.3">
      <c r="A125">
        <v>7124</v>
      </c>
      <c r="B125">
        <v>7</v>
      </c>
      <c r="C125" s="1">
        <v>45556</v>
      </c>
      <c r="D125" t="s">
        <v>46</v>
      </c>
      <c r="E125">
        <v>280.32</v>
      </c>
      <c r="F125">
        <v>4</v>
      </c>
      <c r="G125">
        <v>0</v>
      </c>
      <c r="H125">
        <v>471.32</v>
      </c>
      <c r="I125" t="s">
        <v>118</v>
      </c>
      <c r="J125" t="s">
        <v>24</v>
      </c>
      <c r="K125" t="s">
        <v>17</v>
      </c>
      <c r="L125" t="s">
        <v>137</v>
      </c>
      <c r="M125">
        <v>168.13641552511419</v>
      </c>
      <c r="N125">
        <v>117.83</v>
      </c>
    </row>
    <row r="126" spans="1:14" x14ac:dyDescent="0.3">
      <c r="A126">
        <v>7125</v>
      </c>
      <c r="B126">
        <v>67</v>
      </c>
      <c r="C126" s="1">
        <v>45614</v>
      </c>
      <c r="D126" t="s">
        <v>43</v>
      </c>
      <c r="E126">
        <v>40.229999999999997</v>
      </c>
      <c r="F126">
        <v>1</v>
      </c>
      <c r="G126">
        <v>0.15</v>
      </c>
      <c r="H126">
        <v>9.8800000000000008</v>
      </c>
      <c r="I126" t="s">
        <v>99</v>
      </c>
      <c r="J126" t="s">
        <v>16</v>
      </c>
      <c r="K126" t="s">
        <v>39</v>
      </c>
      <c r="L126" t="s">
        <v>100</v>
      </c>
      <c r="M126">
        <v>24.55878697489436</v>
      </c>
      <c r="N126">
        <v>9.8800000000000008</v>
      </c>
    </row>
    <row r="127" spans="1:14" x14ac:dyDescent="0.3">
      <c r="A127">
        <v>7126</v>
      </c>
      <c r="B127">
        <v>43</v>
      </c>
      <c r="C127" s="1">
        <v>45471</v>
      </c>
      <c r="D127" t="s">
        <v>26</v>
      </c>
      <c r="E127">
        <v>12.86</v>
      </c>
      <c r="F127">
        <v>6</v>
      </c>
      <c r="G127">
        <v>0</v>
      </c>
      <c r="H127">
        <v>19.2</v>
      </c>
      <c r="I127" t="s">
        <v>66</v>
      </c>
      <c r="J127" t="s">
        <v>20</v>
      </c>
      <c r="K127" t="s">
        <v>39</v>
      </c>
      <c r="L127" t="s">
        <v>67</v>
      </c>
      <c r="M127">
        <v>149.3001555209953</v>
      </c>
      <c r="N127">
        <v>3.2</v>
      </c>
    </row>
    <row r="128" spans="1:14" x14ac:dyDescent="0.3">
      <c r="A128">
        <v>7127</v>
      </c>
      <c r="B128">
        <v>52</v>
      </c>
      <c r="C128" s="1">
        <v>45359</v>
      </c>
      <c r="D128" t="s">
        <v>14</v>
      </c>
      <c r="E128">
        <v>416.36</v>
      </c>
      <c r="F128">
        <v>2</v>
      </c>
      <c r="G128">
        <v>0.15</v>
      </c>
      <c r="H128">
        <v>124.78</v>
      </c>
      <c r="I128" t="s">
        <v>109</v>
      </c>
      <c r="J128" t="s">
        <v>24</v>
      </c>
      <c r="K128" t="s">
        <v>17</v>
      </c>
      <c r="L128" t="s">
        <v>110</v>
      </c>
      <c r="M128">
        <v>29.969257373426849</v>
      </c>
      <c r="N128">
        <v>62.39</v>
      </c>
    </row>
    <row r="129" spans="1:14" x14ac:dyDescent="0.3">
      <c r="A129">
        <v>7128</v>
      </c>
      <c r="B129">
        <v>54</v>
      </c>
      <c r="C129" s="1">
        <v>45363</v>
      </c>
      <c r="D129" t="s">
        <v>46</v>
      </c>
      <c r="E129">
        <v>103.42</v>
      </c>
      <c r="F129">
        <v>6</v>
      </c>
      <c r="G129">
        <v>0.1</v>
      </c>
      <c r="H129">
        <v>462.01</v>
      </c>
      <c r="I129" t="s">
        <v>131</v>
      </c>
      <c r="J129" t="s">
        <v>24</v>
      </c>
      <c r="K129" t="s">
        <v>32</v>
      </c>
      <c r="L129" t="s">
        <v>132</v>
      </c>
      <c r="M129">
        <v>446.73177335138269</v>
      </c>
      <c r="N129">
        <v>77.001666666666665</v>
      </c>
    </row>
    <row r="130" spans="1:14" x14ac:dyDescent="0.3">
      <c r="A130">
        <v>7129</v>
      </c>
      <c r="B130">
        <v>6</v>
      </c>
      <c r="C130" s="1">
        <v>45358</v>
      </c>
      <c r="D130" t="s">
        <v>26</v>
      </c>
      <c r="E130">
        <v>42.38</v>
      </c>
      <c r="F130">
        <v>7</v>
      </c>
      <c r="G130">
        <v>0</v>
      </c>
      <c r="H130">
        <v>89.43</v>
      </c>
      <c r="I130" t="s">
        <v>138</v>
      </c>
      <c r="J130" t="s">
        <v>20</v>
      </c>
      <c r="K130" t="s">
        <v>17</v>
      </c>
      <c r="L130" t="s">
        <v>139</v>
      </c>
      <c r="M130">
        <v>211.01934874941011</v>
      </c>
      <c r="N130">
        <v>12.77571428571429</v>
      </c>
    </row>
    <row r="131" spans="1:14" x14ac:dyDescent="0.3">
      <c r="A131">
        <v>7130</v>
      </c>
      <c r="B131">
        <v>40</v>
      </c>
      <c r="C131" s="1">
        <v>45651</v>
      </c>
      <c r="D131" t="s">
        <v>14</v>
      </c>
      <c r="E131">
        <v>123.69</v>
      </c>
      <c r="F131">
        <v>2</v>
      </c>
      <c r="G131">
        <v>0.05</v>
      </c>
      <c r="H131">
        <v>105.24</v>
      </c>
      <c r="I131" t="s">
        <v>122</v>
      </c>
      <c r="J131" t="s">
        <v>54</v>
      </c>
      <c r="K131" t="s">
        <v>32</v>
      </c>
      <c r="L131" t="s">
        <v>123</v>
      </c>
      <c r="M131">
        <v>85.083676934271153</v>
      </c>
      <c r="N131">
        <v>52.62</v>
      </c>
    </row>
    <row r="132" spans="1:14" x14ac:dyDescent="0.3">
      <c r="A132">
        <v>7131</v>
      </c>
      <c r="B132">
        <v>32</v>
      </c>
      <c r="C132" s="1">
        <v>45491</v>
      </c>
      <c r="D132" t="s">
        <v>29</v>
      </c>
      <c r="E132">
        <v>200.94</v>
      </c>
      <c r="F132">
        <v>6</v>
      </c>
      <c r="G132">
        <v>0.15</v>
      </c>
      <c r="H132">
        <v>166.58</v>
      </c>
      <c r="I132" t="s">
        <v>44</v>
      </c>
      <c r="J132" t="s">
        <v>24</v>
      </c>
      <c r="K132" t="s">
        <v>17</v>
      </c>
      <c r="L132" t="s">
        <v>45</v>
      </c>
      <c r="M132">
        <v>82.900368269135072</v>
      </c>
      <c r="N132">
        <v>27.763333333333339</v>
      </c>
    </row>
    <row r="133" spans="1:14" x14ac:dyDescent="0.3">
      <c r="A133">
        <v>7132</v>
      </c>
      <c r="B133">
        <v>43</v>
      </c>
      <c r="C133" s="1">
        <v>45405</v>
      </c>
      <c r="D133" t="s">
        <v>14</v>
      </c>
      <c r="E133">
        <v>841.87</v>
      </c>
      <c r="F133">
        <v>3</v>
      </c>
      <c r="G133">
        <v>0.2</v>
      </c>
      <c r="H133">
        <v>820.79</v>
      </c>
      <c r="I133" t="s">
        <v>66</v>
      </c>
      <c r="J133" t="s">
        <v>20</v>
      </c>
      <c r="K133" t="s">
        <v>39</v>
      </c>
      <c r="L133" t="s">
        <v>67</v>
      </c>
      <c r="M133">
        <v>97.496050459097006</v>
      </c>
      <c r="N133">
        <v>273.59666666666658</v>
      </c>
    </row>
    <row r="134" spans="1:14" x14ac:dyDescent="0.3">
      <c r="A134">
        <v>7133</v>
      </c>
      <c r="B134">
        <v>29</v>
      </c>
      <c r="C134" s="1">
        <v>45382</v>
      </c>
      <c r="D134" t="s">
        <v>26</v>
      </c>
      <c r="E134">
        <v>15.89</v>
      </c>
      <c r="F134">
        <v>4</v>
      </c>
      <c r="G134">
        <v>0</v>
      </c>
      <c r="H134">
        <v>20.73</v>
      </c>
      <c r="I134" t="s">
        <v>61</v>
      </c>
      <c r="J134" t="s">
        <v>20</v>
      </c>
      <c r="K134" t="s">
        <v>39</v>
      </c>
      <c r="L134" t="s">
        <v>62</v>
      </c>
      <c r="M134">
        <v>130.45940843297669</v>
      </c>
      <c r="N134">
        <v>5.1825000000000001</v>
      </c>
    </row>
    <row r="135" spans="1:14" x14ac:dyDescent="0.3">
      <c r="A135">
        <v>7134</v>
      </c>
      <c r="B135">
        <v>49</v>
      </c>
      <c r="C135" s="1">
        <v>45459</v>
      </c>
      <c r="D135" t="s">
        <v>14</v>
      </c>
      <c r="E135">
        <v>1030.28</v>
      </c>
      <c r="F135">
        <v>7</v>
      </c>
      <c r="G135">
        <v>0.15</v>
      </c>
      <c r="H135">
        <v>2391.6799999999998</v>
      </c>
      <c r="I135" t="s">
        <v>70</v>
      </c>
      <c r="J135" t="s">
        <v>31</v>
      </c>
      <c r="K135" t="s">
        <v>17</v>
      </c>
      <c r="L135" t="s">
        <v>71</v>
      </c>
      <c r="M135">
        <v>232.13883604457041</v>
      </c>
      <c r="N135">
        <v>341.6685714285714</v>
      </c>
    </row>
    <row r="136" spans="1:14" x14ac:dyDescent="0.3">
      <c r="A136">
        <v>7135</v>
      </c>
      <c r="B136">
        <v>4</v>
      </c>
      <c r="C136" s="1">
        <v>45477</v>
      </c>
      <c r="D136" t="s">
        <v>22</v>
      </c>
      <c r="E136">
        <v>110.92</v>
      </c>
      <c r="F136">
        <v>1</v>
      </c>
      <c r="G136">
        <v>0.2</v>
      </c>
      <c r="H136">
        <v>19.54</v>
      </c>
      <c r="I136" t="s">
        <v>140</v>
      </c>
      <c r="J136" t="s">
        <v>20</v>
      </c>
      <c r="K136" t="s">
        <v>17</v>
      </c>
      <c r="L136" t="s">
        <v>141</v>
      </c>
      <c r="M136">
        <v>17.616300036062029</v>
      </c>
      <c r="N136">
        <v>19.54</v>
      </c>
    </row>
    <row r="137" spans="1:14" x14ac:dyDescent="0.3">
      <c r="A137">
        <v>7136</v>
      </c>
      <c r="B137">
        <v>4</v>
      </c>
      <c r="C137" s="1">
        <v>45383</v>
      </c>
      <c r="D137" t="s">
        <v>43</v>
      </c>
      <c r="E137">
        <v>20.02</v>
      </c>
      <c r="F137">
        <v>4</v>
      </c>
      <c r="G137">
        <v>0.15</v>
      </c>
      <c r="H137">
        <v>28.89</v>
      </c>
      <c r="I137" t="s">
        <v>140</v>
      </c>
      <c r="J137" t="s">
        <v>20</v>
      </c>
      <c r="K137" t="s">
        <v>17</v>
      </c>
      <c r="L137" t="s">
        <v>141</v>
      </c>
      <c r="M137">
        <v>144.30569430569429</v>
      </c>
      <c r="N137">
        <v>7.2225000000000001</v>
      </c>
    </row>
    <row r="138" spans="1:14" x14ac:dyDescent="0.3">
      <c r="A138">
        <v>7137</v>
      </c>
      <c r="B138">
        <v>5</v>
      </c>
      <c r="C138" s="1">
        <v>45514</v>
      </c>
      <c r="D138" t="s">
        <v>43</v>
      </c>
      <c r="E138">
        <v>40.520000000000003</v>
      </c>
      <c r="F138">
        <v>1</v>
      </c>
      <c r="G138">
        <v>0.05</v>
      </c>
      <c r="H138">
        <v>15.62</v>
      </c>
      <c r="I138" t="s">
        <v>105</v>
      </c>
      <c r="J138" t="s">
        <v>54</v>
      </c>
      <c r="K138" t="s">
        <v>17</v>
      </c>
      <c r="L138" t="s">
        <v>106</v>
      </c>
      <c r="M138">
        <v>38.54886475814412</v>
      </c>
      <c r="N138">
        <v>15.62</v>
      </c>
    </row>
    <row r="139" spans="1:14" x14ac:dyDescent="0.3">
      <c r="A139">
        <v>7138</v>
      </c>
      <c r="B139">
        <v>30</v>
      </c>
      <c r="C139" s="1">
        <v>45445</v>
      </c>
      <c r="D139" t="s">
        <v>26</v>
      </c>
      <c r="E139">
        <v>95.56</v>
      </c>
      <c r="F139">
        <v>5</v>
      </c>
      <c r="G139">
        <v>0</v>
      </c>
      <c r="H139">
        <v>99.64</v>
      </c>
      <c r="I139" t="s">
        <v>38</v>
      </c>
      <c r="J139" t="s">
        <v>24</v>
      </c>
      <c r="K139" t="s">
        <v>39</v>
      </c>
      <c r="L139" t="s">
        <v>40</v>
      </c>
      <c r="M139">
        <v>104.2695688572624</v>
      </c>
      <c r="N139">
        <v>19.928000000000001</v>
      </c>
    </row>
    <row r="140" spans="1:14" x14ac:dyDescent="0.3">
      <c r="A140">
        <v>7139</v>
      </c>
      <c r="B140">
        <v>20</v>
      </c>
      <c r="C140" s="1">
        <v>45361</v>
      </c>
      <c r="D140" t="s">
        <v>26</v>
      </c>
      <c r="E140">
        <v>21.69</v>
      </c>
      <c r="F140">
        <v>6</v>
      </c>
      <c r="G140">
        <v>0.2</v>
      </c>
      <c r="H140">
        <v>33.68</v>
      </c>
      <c r="I140" t="s">
        <v>88</v>
      </c>
      <c r="J140" t="s">
        <v>54</v>
      </c>
      <c r="K140" t="s">
        <v>32</v>
      </c>
      <c r="L140" t="s">
        <v>89</v>
      </c>
      <c r="M140">
        <v>155.27893038266481</v>
      </c>
      <c r="N140">
        <v>5.6133333333333333</v>
      </c>
    </row>
    <row r="141" spans="1:14" x14ac:dyDescent="0.3">
      <c r="A141">
        <v>7140</v>
      </c>
      <c r="B141">
        <v>67</v>
      </c>
      <c r="C141" s="1">
        <v>45479</v>
      </c>
      <c r="D141" t="s">
        <v>29</v>
      </c>
      <c r="E141">
        <v>108.84</v>
      </c>
      <c r="F141">
        <v>2</v>
      </c>
      <c r="G141">
        <v>0</v>
      </c>
      <c r="H141">
        <v>42.7</v>
      </c>
      <c r="I141" t="s">
        <v>99</v>
      </c>
      <c r="J141" t="s">
        <v>16</v>
      </c>
      <c r="K141" t="s">
        <v>39</v>
      </c>
      <c r="L141" t="s">
        <v>100</v>
      </c>
      <c r="M141">
        <v>39.231900036751192</v>
      </c>
      <c r="N141">
        <v>21.35</v>
      </c>
    </row>
    <row r="142" spans="1:14" x14ac:dyDescent="0.3">
      <c r="A142">
        <v>7141</v>
      </c>
      <c r="B142">
        <v>14</v>
      </c>
      <c r="C142" s="1">
        <v>45653</v>
      </c>
      <c r="D142" t="s">
        <v>26</v>
      </c>
      <c r="E142">
        <v>46.15</v>
      </c>
      <c r="F142">
        <v>3</v>
      </c>
      <c r="G142">
        <v>0.05</v>
      </c>
      <c r="H142">
        <v>28.85</v>
      </c>
      <c r="I142" t="s">
        <v>41</v>
      </c>
      <c r="J142" t="s">
        <v>24</v>
      </c>
      <c r="K142" t="s">
        <v>17</v>
      </c>
      <c r="L142" t="s">
        <v>42</v>
      </c>
      <c r="M142">
        <v>62.513542795232937</v>
      </c>
      <c r="N142">
        <v>9.6166666666666671</v>
      </c>
    </row>
    <row r="143" spans="1:14" x14ac:dyDescent="0.3">
      <c r="A143">
        <v>7142</v>
      </c>
      <c r="B143">
        <v>21</v>
      </c>
      <c r="C143" s="1">
        <v>45360</v>
      </c>
      <c r="D143" t="s">
        <v>14</v>
      </c>
      <c r="E143">
        <v>278.77999999999997</v>
      </c>
      <c r="F143">
        <v>7</v>
      </c>
      <c r="G143">
        <v>0</v>
      </c>
      <c r="H143">
        <v>565.12</v>
      </c>
      <c r="I143" t="s">
        <v>97</v>
      </c>
      <c r="J143" t="s">
        <v>54</v>
      </c>
      <c r="K143" t="s">
        <v>17</v>
      </c>
      <c r="L143" t="s">
        <v>98</v>
      </c>
      <c r="M143">
        <v>202.71181576870649</v>
      </c>
      <c r="N143">
        <v>80.731428571428566</v>
      </c>
    </row>
    <row r="144" spans="1:14" x14ac:dyDescent="0.3">
      <c r="A144">
        <v>7143</v>
      </c>
      <c r="B144">
        <v>24</v>
      </c>
      <c r="C144" s="1">
        <v>45551</v>
      </c>
      <c r="D144" t="s">
        <v>46</v>
      </c>
      <c r="E144">
        <v>394.78</v>
      </c>
      <c r="F144">
        <v>4</v>
      </c>
      <c r="G144">
        <v>0.1</v>
      </c>
      <c r="H144">
        <v>-350.39</v>
      </c>
      <c r="I144" t="s">
        <v>47</v>
      </c>
      <c r="J144" t="s">
        <v>20</v>
      </c>
      <c r="K144" t="s">
        <v>32</v>
      </c>
      <c r="L144" t="s">
        <v>48</v>
      </c>
      <c r="M144">
        <v>-88.755762703277767</v>
      </c>
      <c r="N144">
        <v>-87.597499999999997</v>
      </c>
    </row>
    <row r="145" spans="1:14" x14ac:dyDescent="0.3">
      <c r="A145">
        <v>7144</v>
      </c>
      <c r="B145">
        <v>50</v>
      </c>
      <c r="C145" s="1">
        <v>45481</v>
      </c>
      <c r="D145" t="s">
        <v>14</v>
      </c>
      <c r="E145">
        <v>117.91</v>
      </c>
      <c r="F145">
        <v>4</v>
      </c>
      <c r="G145">
        <v>0</v>
      </c>
      <c r="H145">
        <v>78.03</v>
      </c>
      <c r="I145" t="s">
        <v>118</v>
      </c>
      <c r="J145" t="s">
        <v>16</v>
      </c>
      <c r="K145" t="s">
        <v>17</v>
      </c>
      <c r="L145" t="s">
        <v>119</v>
      </c>
      <c r="M145">
        <v>66.177593079467385</v>
      </c>
      <c r="N145">
        <v>19.5075</v>
      </c>
    </row>
    <row r="146" spans="1:14" x14ac:dyDescent="0.3">
      <c r="A146">
        <v>7145</v>
      </c>
      <c r="B146">
        <v>65</v>
      </c>
      <c r="C146" s="1">
        <v>45365</v>
      </c>
      <c r="D146" t="s">
        <v>46</v>
      </c>
      <c r="E146">
        <v>372.96</v>
      </c>
      <c r="F146">
        <v>5</v>
      </c>
      <c r="G146">
        <v>0</v>
      </c>
      <c r="H146">
        <v>634.30999999999995</v>
      </c>
      <c r="I146" t="s">
        <v>101</v>
      </c>
      <c r="J146" t="s">
        <v>54</v>
      </c>
      <c r="K146" t="s">
        <v>17</v>
      </c>
      <c r="L146" t="s">
        <v>102</v>
      </c>
      <c r="M146">
        <v>170.07453882453879</v>
      </c>
      <c r="N146">
        <v>126.86199999999999</v>
      </c>
    </row>
    <row r="147" spans="1:14" x14ac:dyDescent="0.3">
      <c r="A147">
        <v>7146</v>
      </c>
      <c r="B147">
        <v>42</v>
      </c>
      <c r="C147" s="1">
        <v>45654</v>
      </c>
      <c r="D147" t="s">
        <v>46</v>
      </c>
      <c r="E147">
        <v>226.42</v>
      </c>
      <c r="F147">
        <v>2</v>
      </c>
      <c r="G147">
        <v>0</v>
      </c>
      <c r="H147">
        <v>125.5</v>
      </c>
      <c r="I147" t="s">
        <v>49</v>
      </c>
      <c r="J147" t="s">
        <v>31</v>
      </c>
      <c r="K147" t="s">
        <v>17</v>
      </c>
      <c r="L147" t="s">
        <v>50</v>
      </c>
      <c r="M147">
        <v>55.427965727409237</v>
      </c>
      <c r="N147">
        <v>62.75</v>
      </c>
    </row>
    <row r="148" spans="1:14" x14ac:dyDescent="0.3">
      <c r="A148">
        <v>7147</v>
      </c>
      <c r="B148">
        <v>53</v>
      </c>
      <c r="C148" s="1">
        <v>45592</v>
      </c>
      <c r="D148" t="s">
        <v>14</v>
      </c>
      <c r="E148">
        <v>487.03</v>
      </c>
      <c r="F148">
        <v>1</v>
      </c>
      <c r="G148">
        <v>0.2</v>
      </c>
      <c r="H148">
        <v>125.69</v>
      </c>
      <c r="I148" t="s">
        <v>36</v>
      </c>
      <c r="J148" t="s">
        <v>20</v>
      </c>
      <c r="K148" t="s">
        <v>17</v>
      </c>
      <c r="L148" t="s">
        <v>37</v>
      </c>
      <c r="M148">
        <v>25.80744512658358</v>
      </c>
      <c r="N148">
        <v>125.69</v>
      </c>
    </row>
    <row r="149" spans="1:14" x14ac:dyDescent="0.3">
      <c r="A149">
        <v>7148</v>
      </c>
      <c r="B149">
        <v>12</v>
      </c>
      <c r="C149" s="1">
        <v>45470</v>
      </c>
      <c r="D149" t="s">
        <v>14</v>
      </c>
      <c r="E149">
        <v>492.12</v>
      </c>
      <c r="F149">
        <v>5</v>
      </c>
      <c r="G149">
        <v>0.05</v>
      </c>
      <c r="H149">
        <v>949.7</v>
      </c>
      <c r="I149" t="s">
        <v>78</v>
      </c>
      <c r="J149" t="s">
        <v>64</v>
      </c>
      <c r="K149" t="s">
        <v>17</v>
      </c>
      <c r="L149" t="s">
        <v>79</v>
      </c>
      <c r="M149">
        <v>192.9813866536617</v>
      </c>
      <c r="N149">
        <v>189.94</v>
      </c>
    </row>
    <row r="150" spans="1:14" x14ac:dyDescent="0.3">
      <c r="A150">
        <v>7149</v>
      </c>
      <c r="B150">
        <v>38</v>
      </c>
      <c r="C150" s="1">
        <v>45333</v>
      </c>
      <c r="D150" t="s">
        <v>26</v>
      </c>
      <c r="E150">
        <v>74.459999999999994</v>
      </c>
      <c r="F150">
        <v>3</v>
      </c>
      <c r="G150">
        <v>0.15</v>
      </c>
      <c r="H150">
        <v>33.36</v>
      </c>
      <c r="I150" t="s">
        <v>34</v>
      </c>
      <c r="J150" t="s">
        <v>16</v>
      </c>
      <c r="K150" t="s">
        <v>32</v>
      </c>
      <c r="L150" t="s">
        <v>35</v>
      </c>
      <c r="M150">
        <v>44.802578565672853</v>
      </c>
      <c r="N150">
        <v>11.12</v>
      </c>
    </row>
    <row r="151" spans="1:14" x14ac:dyDescent="0.3">
      <c r="A151">
        <v>7150</v>
      </c>
      <c r="B151">
        <v>18</v>
      </c>
      <c r="C151" s="1">
        <v>45612</v>
      </c>
      <c r="D151" t="s">
        <v>14</v>
      </c>
      <c r="E151">
        <v>296.44</v>
      </c>
      <c r="F151">
        <v>1</v>
      </c>
      <c r="G151">
        <v>0.15</v>
      </c>
      <c r="H151">
        <v>65.33</v>
      </c>
      <c r="I151" t="s">
        <v>92</v>
      </c>
      <c r="J151" t="s">
        <v>20</v>
      </c>
      <c r="K151" t="s">
        <v>32</v>
      </c>
      <c r="L151" t="s">
        <v>93</v>
      </c>
      <c r="M151">
        <v>22.03818647955741</v>
      </c>
      <c r="N151">
        <v>65.33</v>
      </c>
    </row>
    <row r="152" spans="1:14" x14ac:dyDescent="0.3">
      <c r="A152">
        <v>7151</v>
      </c>
      <c r="B152">
        <v>43</v>
      </c>
      <c r="C152" s="1">
        <v>45483</v>
      </c>
      <c r="D152" t="s">
        <v>29</v>
      </c>
      <c r="E152">
        <v>167.3</v>
      </c>
      <c r="F152">
        <v>4</v>
      </c>
      <c r="G152">
        <v>0.05</v>
      </c>
      <c r="H152">
        <v>144.96</v>
      </c>
      <c r="I152" t="s">
        <v>66</v>
      </c>
      <c r="J152" t="s">
        <v>20</v>
      </c>
      <c r="K152" t="s">
        <v>39</v>
      </c>
      <c r="L152" t="s">
        <v>67</v>
      </c>
      <c r="M152">
        <v>86.646742378959956</v>
      </c>
      <c r="N152">
        <v>36.24</v>
      </c>
    </row>
    <row r="153" spans="1:14" x14ac:dyDescent="0.3">
      <c r="A153">
        <v>7152</v>
      </c>
      <c r="B153">
        <v>59</v>
      </c>
      <c r="C153" s="1">
        <v>45600</v>
      </c>
      <c r="D153" t="s">
        <v>14</v>
      </c>
      <c r="E153">
        <v>62.89</v>
      </c>
      <c r="F153">
        <v>2</v>
      </c>
      <c r="G153">
        <v>0.2</v>
      </c>
      <c r="H153">
        <v>43.91</v>
      </c>
      <c r="I153" t="s">
        <v>59</v>
      </c>
      <c r="J153" t="s">
        <v>24</v>
      </c>
      <c r="K153" t="s">
        <v>17</v>
      </c>
      <c r="L153" t="s">
        <v>60</v>
      </c>
      <c r="M153">
        <v>69.820321195738586</v>
      </c>
      <c r="N153">
        <v>21.954999999999998</v>
      </c>
    </row>
    <row r="154" spans="1:14" x14ac:dyDescent="0.3">
      <c r="A154">
        <v>7153</v>
      </c>
      <c r="B154">
        <v>53</v>
      </c>
      <c r="C154" s="1">
        <v>45388</v>
      </c>
      <c r="D154" t="s">
        <v>26</v>
      </c>
      <c r="E154">
        <v>147.02000000000001</v>
      </c>
      <c r="F154">
        <v>5</v>
      </c>
      <c r="G154">
        <v>0.1</v>
      </c>
      <c r="H154">
        <v>265.05</v>
      </c>
      <c r="I154" t="s">
        <v>36</v>
      </c>
      <c r="J154" t="s">
        <v>20</v>
      </c>
      <c r="K154" t="s">
        <v>17</v>
      </c>
      <c r="L154" t="s">
        <v>37</v>
      </c>
      <c r="M154">
        <v>180.281594340906</v>
      </c>
      <c r="N154">
        <v>53.010000000000012</v>
      </c>
    </row>
    <row r="155" spans="1:14" x14ac:dyDescent="0.3">
      <c r="A155">
        <v>7154</v>
      </c>
      <c r="B155">
        <v>70</v>
      </c>
      <c r="C155" s="1">
        <v>45623</v>
      </c>
      <c r="D155" t="s">
        <v>14</v>
      </c>
      <c r="E155">
        <v>749.83</v>
      </c>
      <c r="F155">
        <v>2</v>
      </c>
      <c r="G155">
        <v>0.05</v>
      </c>
      <c r="H155">
        <v>634.54</v>
      </c>
      <c r="I155" t="s">
        <v>142</v>
      </c>
      <c r="J155" t="s">
        <v>24</v>
      </c>
      <c r="K155" t="s">
        <v>17</v>
      </c>
      <c r="L155" t="s">
        <v>143</v>
      </c>
      <c r="M155">
        <v>84.624514890041738</v>
      </c>
      <c r="N155">
        <v>317.27</v>
      </c>
    </row>
    <row r="156" spans="1:14" x14ac:dyDescent="0.3">
      <c r="A156">
        <v>7155</v>
      </c>
      <c r="B156">
        <v>66</v>
      </c>
      <c r="C156" s="1">
        <v>45384</v>
      </c>
      <c r="D156" t="s">
        <v>43</v>
      </c>
      <c r="E156">
        <v>58.37</v>
      </c>
      <c r="F156">
        <v>6</v>
      </c>
      <c r="G156">
        <v>0.1</v>
      </c>
      <c r="H156">
        <v>56.92</v>
      </c>
      <c r="I156" t="s">
        <v>74</v>
      </c>
      <c r="J156" t="s">
        <v>20</v>
      </c>
      <c r="K156" t="s">
        <v>32</v>
      </c>
      <c r="L156" t="s">
        <v>94</v>
      </c>
      <c r="M156">
        <v>97.515847181771463</v>
      </c>
      <c r="N156">
        <v>9.4866666666666664</v>
      </c>
    </row>
    <row r="157" spans="1:14" x14ac:dyDescent="0.3">
      <c r="A157">
        <v>7156</v>
      </c>
      <c r="B157">
        <v>59</v>
      </c>
      <c r="C157" s="1">
        <v>45322</v>
      </c>
      <c r="D157" t="s">
        <v>14</v>
      </c>
      <c r="E157">
        <v>121.08</v>
      </c>
      <c r="F157">
        <v>1</v>
      </c>
      <c r="G157">
        <v>0</v>
      </c>
      <c r="H157">
        <v>51.6</v>
      </c>
      <c r="I157" t="s">
        <v>59</v>
      </c>
      <c r="J157" t="s">
        <v>24</v>
      </c>
      <c r="K157" t="s">
        <v>17</v>
      </c>
      <c r="L157" t="s">
        <v>60</v>
      </c>
      <c r="M157">
        <v>42.616451932606537</v>
      </c>
      <c r="N157">
        <v>51.6</v>
      </c>
    </row>
    <row r="158" spans="1:14" x14ac:dyDescent="0.3">
      <c r="A158">
        <v>7157</v>
      </c>
      <c r="B158">
        <v>6</v>
      </c>
      <c r="C158" s="1">
        <v>45382</v>
      </c>
      <c r="D158" t="s">
        <v>26</v>
      </c>
      <c r="E158">
        <v>112.07</v>
      </c>
      <c r="F158">
        <v>3</v>
      </c>
      <c r="G158">
        <v>0.05</v>
      </c>
      <c r="H158">
        <v>130.68</v>
      </c>
      <c r="I158" t="s">
        <v>138</v>
      </c>
      <c r="J158" t="s">
        <v>20</v>
      </c>
      <c r="K158" t="s">
        <v>17</v>
      </c>
      <c r="L158" t="s">
        <v>139</v>
      </c>
      <c r="M158">
        <v>116.60569287052731</v>
      </c>
      <c r="N158">
        <v>43.56</v>
      </c>
    </row>
    <row r="159" spans="1:14" x14ac:dyDescent="0.3">
      <c r="A159">
        <v>7158</v>
      </c>
      <c r="B159">
        <v>3</v>
      </c>
      <c r="C159" s="1">
        <v>45508</v>
      </c>
      <c r="D159" t="s">
        <v>26</v>
      </c>
      <c r="E159">
        <v>57.76</v>
      </c>
      <c r="F159">
        <v>1</v>
      </c>
      <c r="G159">
        <v>0</v>
      </c>
      <c r="H159">
        <v>10.85</v>
      </c>
      <c r="I159" t="s">
        <v>19</v>
      </c>
      <c r="J159" t="s">
        <v>20</v>
      </c>
      <c r="K159" t="s">
        <v>17</v>
      </c>
      <c r="L159" t="s">
        <v>21</v>
      </c>
      <c r="M159">
        <v>18.784626038781159</v>
      </c>
      <c r="N159">
        <v>10.85</v>
      </c>
    </row>
    <row r="160" spans="1:14" x14ac:dyDescent="0.3">
      <c r="A160">
        <v>7159</v>
      </c>
      <c r="B160">
        <v>14</v>
      </c>
      <c r="C160" s="1">
        <v>45436</v>
      </c>
      <c r="D160" t="s">
        <v>29</v>
      </c>
      <c r="E160">
        <v>189.16</v>
      </c>
      <c r="F160">
        <v>1</v>
      </c>
      <c r="G160">
        <v>0.1</v>
      </c>
      <c r="H160">
        <v>44.13</v>
      </c>
      <c r="I160" t="s">
        <v>41</v>
      </c>
      <c r="J160" t="s">
        <v>24</v>
      </c>
      <c r="K160" t="s">
        <v>17</v>
      </c>
      <c r="L160" t="s">
        <v>42</v>
      </c>
      <c r="M160">
        <v>23.329456544724049</v>
      </c>
      <c r="N160">
        <v>44.13</v>
      </c>
    </row>
    <row r="161" spans="1:14" x14ac:dyDescent="0.3">
      <c r="A161">
        <v>7160</v>
      </c>
      <c r="B161">
        <v>28</v>
      </c>
      <c r="C161" s="1">
        <v>45404</v>
      </c>
      <c r="D161" t="s">
        <v>26</v>
      </c>
      <c r="E161">
        <v>88.19</v>
      </c>
      <c r="F161">
        <v>5</v>
      </c>
      <c r="G161">
        <v>0.05</v>
      </c>
      <c r="H161">
        <v>77.91</v>
      </c>
      <c r="I161" t="s">
        <v>76</v>
      </c>
      <c r="J161" t="s">
        <v>24</v>
      </c>
      <c r="K161" t="s">
        <v>32</v>
      </c>
      <c r="L161" t="s">
        <v>77</v>
      </c>
      <c r="M161">
        <v>88.34334958612088</v>
      </c>
      <c r="N161">
        <v>15.582000000000001</v>
      </c>
    </row>
    <row r="162" spans="1:14" x14ac:dyDescent="0.3">
      <c r="A162">
        <v>7161</v>
      </c>
      <c r="B162">
        <v>21</v>
      </c>
      <c r="C162" s="1">
        <v>45571</v>
      </c>
      <c r="D162" t="s">
        <v>14</v>
      </c>
      <c r="E162">
        <v>897.44</v>
      </c>
      <c r="F162">
        <v>7</v>
      </c>
      <c r="G162">
        <v>0</v>
      </c>
      <c r="H162">
        <v>2005.09</v>
      </c>
      <c r="I162" t="s">
        <v>97</v>
      </c>
      <c r="J162" t="s">
        <v>54</v>
      </c>
      <c r="K162" t="s">
        <v>17</v>
      </c>
      <c r="L162" t="s">
        <v>98</v>
      </c>
      <c r="M162">
        <v>223.4232929220895</v>
      </c>
      <c r="N162">
        <v>286.44142857142862</v>
      </c>
    </row>
    <row r="163" spans="1:14" x14ac:dyDescent="0.3">
      <c r="A163">
        <v>7162</v>
      </c>
      <c r="B163">
        <v>15</v>
      </c>
      <c r="C163" s="1">
        <v>45303</v>
      </c>
      <c r="D163" t="s">
        <v>43</v>
      </c>
      <c r="E163">
        <v>17.34</v>
      </c>
      <c r="F163">
        <v>7</v>
      </c>
      <c r="G163">
        <v>0.1</v>
      </c>
      <c r="H163">
        <v>28.76</v>
      </c>
      <c r="I163" t="s">
        <v>113</v>
      </c>
      <c r="J163" t="s">
        <v>24</v>
      </c>
      <c r="K163" t="s">
        <v>17</v>
      </c>
      <c r="L163" t="s">
        <v>114</v>
      </c>
      <c r="M163">
        <v>165.85928489042669</v>
      </c>
      <c r="N163">
        <v>4.1085714285714294</v>
      </c>
    </row>
    <row r="164" spans="1:14" x14ac:dyDescent="0.3">
      <c r="A164">
        <v>7163</v>
      </c>
      <c r="B164">
        <v>29</v>
      </c>
      <c r="C164" s="1">
        <v>45644</v>
      </c>
      <c r="D164" t="s">
        <v>22</v>
      </c>
      <c r="E164">
        <v>86.93</v>
      </c>
      <c r="F164">
        <v>-6</v>
      </c>
      <c r="G164">
        <v>0.05</v>
      </c>
      <c r="H164">
        <v>129.04</v>
      </c>
      <c r="I164" t="s">
        <v>61</v>
      </c>
      <c r="J164" t="s">
        <v>20</v>
      </c>
      <c r="K164" t="s">
        <v>39</v>
      </c>
      <c r="L164" t="s">
        <v>62</v>
      </c>
      <c r="M164">
        <v>148.44127458874951</v>
      </c>
      <c r="N164">
        <v>-21.506666666666661</v>
      </c>
    </row>
    <row r="165" spans="1:14" x14ac:dyDescent="0.3">
      <c r="A165">
        <v>7164</v>
      </c>
      <c r="B165">
        <v>11</v>
      </c>
      <c r="C165" s="1">
        <v>45605</v>
      </c>
      <c r="D165" t="s">
        <v>29</v>
      </c>
      <c r="E165">
        <v>75.790000000000006</v>
      </c>
      <c r="F165">
        <v>5</v>
      </c>
      <c r="G165">
        <v>0.2</v>
      </c>
      <c r="H165">
        <v>101.12</v>
      </c>
      <c r="I165" t="s">
        <v>124</v>
      </c>
      <c r="J165" t="s">
        <v>20</v>
      </c>
      <c r="K165" t="s">
        <v>32</v>
      </c>
      <c r="L165" t="s">
        <v>125</v>
      </c>
      <c r="M165">
        <v>133.42129568544661</v>
      </c>
      <c r="N165">
        <v>20.224</v>
      </c>
    </row>
    <row r="166" spans="1:14" x14ac:dyDescent="0.3">
      <c r="A166">
        <v>7165</v>
      </c>
      <c r="B166">
        <v>45</v>
      </c>
      <c r="C166" s="1">
        <v>45524</v>
      </c>
      <c r="D166" t="s">
        <v>26</v>
      </c>
      <c r="E166">
        <v>101.39</v>
      </c>
      <c r="F166">
        <v>6</v>
      </c>
      <c r="G166">
        <v>0.15</v>
      </c>
      <c r="H166">
        <v>98.89</v>
      </c>
      <c r="I166" t="s">
        <v>144</v>
      </c>
      <c r="J166" t="s">
        <v>24</v>
      </c>
      <c r="K166" t="s">
        <v>32</v>
      </c>
      <c r="L166" t="s">
        <v>145</v>
      </c>
      <c r="M166">
        <v>97.534273597001672</v>
      </c>
      <c r="N166">
        <v>16.481666666666669</v>
      </c>
    </row>
    <row r="167" spans="1:14" x14ac:dyDescent="0.3">
      <c r="A167">
        <v>7166</v>
      </c>
      <c r="B167">
        <v>44</v>
      </c>
      <c r="C167" s="1">
        <v>45565</v>
      </c>
      <c r="D167" t="s">
        <v>14</v>
      </c>
      <c r="E167">
        <v>846.28</v>
      </c>
      <c r="F167">
        <v>7</v>
      </c>
      <c r="G167">
        <v>0.1</v>
      </c>
      <c r="H167">
        <v>-1113.07</v>
      </c>
      <c r="I167" t="s">
        <v>146</v>
      </c>
      <c r="J167" t="s">
        <v>24</v>
      </c>
      <c r="K167" t="s">
        <v>32</v>
      </c>
      <c r="L167" t="s">
        <v>141</v>
      </c>
      <c r="M167">
        <v>-131.52502717776619</v>
      </c>
      <c r="N167">
        <v>-159.01</v>
      </c>
    </row>
    <row r="168" spans="1:14" x14ac:dyDescent="0.3">
      <c r="A168">
        <v>7167</v>
      </c>
      <c r="B168">
        <v>69</v>
      </c>
      <c r="C168" s="1">
        <v>45439</v>
      </c>
      <c r="D168" t="s">
        <v>26</v>
      </c>
      <c r="E168">
        <v>17.38</v>
      </c>
      <c r="F168">
        <v>1</v>
      </c>
      <c r="G168">
        <v>0</v>
      </c>
      <c r="H168">
        <v>7.53</v>
      </c>
      <c r="I168" t="s">
        <v>63</v>
      </c>
      <c r="J168" t="s">
        <v>54</v>
      </c>
      <c r="K168" t="s">
        <v>64</v>
      </c>
      <c r="L168" t="s">
        <v>65</v>
      </c>
      <c r="M168">
        <v>43.325661680092068</v>
      </c>
      <c r="N168">
        <v>7.53</v>
      </c>
    </row>
    <row r="169" spans="1:14" x14ac:dyDescent="0.3">
      <c r="A169">
        <v>7168</v>
      </c>
      <c r="B169">
        <v>46</v>
      </c>
      <c r="C169" s="1">
        <v>45565</v>
      </c>
      <c r="D169" t="s">
        <v>14</v>
      </c>
      <c r="E169">
        <v>720.9</v>
      </c>
      <c r="F169">
        <v>2</v>
      </c>
      <c r="G169">
        <v>0.1</v>
      </c>
      <c r="H169">
        <v>426.85</v>
      </c>
      <c r="I169" t="s">
        <v>111</v>
      </c>
      <c r="J169" t="s">
        <v>20</v>
      </c>
      <c r="K169" t="s">
        <v>17</v>
      </c>
      <c r="L169" t="s">
        <v>112</v>
      </c>
      <c r="M169">
        <v>59.210708836177012</v>
      </c>
      <c r="N169">
        <v>213.42500000000001</v>
      </c>
    </row>
    <row r="170" spans="1:14" x14ac:dyDescent="0.3">
      <c r="A170">
        <v>7169</v>
      </c>
      <c r="B170">
        <v>27</v>
      </c>
      <c r="C170" s="1">
        <v>45642</v>
      </c>
      <c r="D170" t="s">
        <v>43</v>
      </c>
      <c r="E170">
        <v>18.13</v>
      </c>
      <c r="F170">
        <v>5</v>
      </c>
      <c r="G170">
        <v>0.05</v>
      </c>
      <c r="H170">
        <v>19.86</v>
      </c>
      <c r="I170" t="s">
        <v>126</v>
      </c>
      <c r="J170" t="s">
        <v>20</v>
      </c>
      <c r="K170" t="s">
        <v>64</v>
      </c>
      <c r="L170" t="s">
        <v>100</v>
      </c>
      <c r="M170">
        <v>109.54219525648099</v>
      </c>
      <c r="N170">
        <v>3.972</v>
      </c>
    </row>
    <row r="171" spans="1:14" x14ac:dyDescent="0.3">
      <c r="A171">
        <v>7170</v>
      </c>
      <c r="B171">
        <v>11</v>
      </c>
      <c r="C171" s="1">
        <v>45522</v>
      </c>
      <c r="D171" t="s">
        <v>26</v>
      </c>
      <c r="E171">
        <v>53.48</v>
      </c>
      <c r="F171">
        <v>-4</v>
      </c>
      <c r="G171">
        <v>0.1</v>
      </c>
      <c r="H171">
        <v>74.86</v>
      </c>
      <c r="I171" t="s">
        <v>124</v>
      </c>
      <c r="J171" t="s">
        <v>20</v>
      </c>
      <c r="K171" t="s">
        <v>32</v>
      </c>
      <c r="L171" t="s">
        <v>125</v>
      </c>
      <c r="M171">
        <v>139.97756170531039</v>
      </c>
      <c r="N171">
        <v>-18.715</v>
      </c>
    </row>
    <row r="172" spans="1:14" x14ac:dyDescent="0.3">
      <c r="A172">
        <v>7171</v>
      </c>
      <c r="B172">
        <v>51</v>
      </c>
      <c r="C172" s="1">
        <v>45362</v>
      </c>
      <c r="D172" t="s">
        <v>46</v>
      </c>
      <c r="E172">
        <v>286.12</v>
      </c>
      <c r="F172">
        <v>3</v>
      </c>
      <c r="G172">
        <v>0.05</v>
      </c>
      <c r="H172">
        <v>151.49</v>
      </c>
      <c r="I172" t="s">
        <v>27</v>
      </c>
      <c r="J172" t="s">
        <v>16</v>
      </c>
      <c r="K172" t="s">
        <v>17</v>
      </c>
      <c r="L172" t="s">
        <v>28</v>
      </c>
      <c r="M172">
        <v>52.94631623095205</v>
      </c>
      <c r="N172">
        <v>50.49666666666667</v>
      </c>
    </row>
    <row r="173" spans="1:14" x14ac:dyDescent="0.3">
      <c r="A173">
        <v>7172</v>
      </c>
      <c r="B173">
        <v>11</v>
      </c>
      <c r="C173" s="1">
        <v>45593</v>
      </c>
      <c r="D173" t="s">
        <v>14</v>
      </c>
      <c r="E173">
        <v>1041.08</v>
      </c>
      <c r="F173">
        <v>3</v>
      </c>
      <c r="G173">
        <v>0.15</v>
      </c>
      <c r="H173">
        <v>1148.58</v>
      </c>
      <c r="I173" t="s">
        <v>124</v>
      </c>
      <c r="J173" t="s">
        <v>20</v>
      </c>
      <c r="K173" t="s">
        <v>32</v>
      </c>
      <c r="L173" t="s">
        <v>125</v>
      </c>
      <c r="M173">
        <v>110.32581549928921</v>
      </c>
      <c r="N173">
        <v>382.86</v>
      </c>
    </row>
    <row r="174" spans="1:14" x14ac:dyDescent="0.3">
      <c r="A174">
        <v>7173</v>
      </c>
      <c r="B174">
        <v>6</v>
      </c>
      <c r="C174" s="1">
        <v>45331</v>
      </c>
      <c r="D174" t="s">
        <v>14</v>
      </c>
      <c r="E174">
        <v>1196.17</v>
      </c>
      <c r="F174">
        <v>3</v>
      </c>
      <c r="G174">
        <v>0.3</v>
      </c>
      <c r="H174">
        <v>83.04</v>
      </c>
      <c r="I174" t="s">
        <v>138</v>
      </c>
      <c r="J174" t="s">
        <v>20</v>
      </c>
      <c r="K174" t="s">
        <v>17</v>
      </c>
      <c r="L174" t="s">
        <v>139</v>
      </c>
      <c r="M174">
        <v>6.942157051255256</v>
      </c>
      <c r="N174">
        <v>27.68</v>
      </c>
    </row>
    <row r="175" spans="1:14" x14ac:dyDescent="0.3">
      <c r="A175">
        <v>7174</v>
      </c>
      <c r="B175">
        <v>11</v>
      </c>
      <c r="C175" s="1">
        <v>45547</v>
      </c>
      <c r="D175" t="s">
        <v>29</v>
      </c>
      <c r="E175">
        <v>48.71</v>
      </c>
      <c r="F175">
        <v>1</v>
      </c>
      <c r="G175">
        <v>0</v>
      </c>
      <c r="H175">
        <v>11.9</v>
      </c>
      <c r="I175" t="s">
        <v>124</v>
      </c>
      <c r="J175" t="s">
        <v>20</v>
      </c>
      <c r="K175" t="s">
        <v>32</v>
      </c>
      <c r="L175" t="s">
        <v>125</v>
      </c>
      <c r="M175">
        <v>24.430301786080889</v>
      </c>
      <c r="N175">
        <v>11.9</v>
      </c>
    </row>
    <row r="176" spans="1:14" x14ac:dyDescent="0.3">
      <c r="A176">
        <v>7175</v>
      </c>
      <c r="B176">
        <v>5</v>
      </c>
      <c r="C176" s="1">
        <v>45573</v>
      </c>
      <c r="D176" t="s">
        <v>26</v>
      </c>
      <c r="E176">
        <v>57.55</v>
      </c>
      <c r="F176">
        <v>3</v>
      </c>
      <c r="G176">
        <v>0</v>
      </c>
      <c r="H176">
        <v>49.68</v>
      </c>
      <c r="I176" t="s">
        <v>105</v>
      </c>
      <c r="J176" t="s">
        <v>54</v>
      </c>
      <c r="K176" t="s">
        <v>17</v>
      </c>
      <c r="L176" t="s">
        <v>106</v>
      </c>
      <c r="M176">
        <v>86.324934839270213</v>
      </c>
      <c r="N176">
        <v>16.559999999999999</v>
      </c>
    </row>
    <row r="177" spans="1:14" x14ac:dyDescent="0.3">
      <c r="A177">
        <v>7176</v>
      </c>
      <c r="B177">
        <v>13</v>
      </c>
      <c r="C177" s="1">
        <v>45380</v>
      </c>
      <c r="D177" t="s">
        <v>46</v>
      </c>
      <c r="E177">
        <v>188.67</v>
      </c>
      <c r="F177">
        <v>4</v>
      </c>
      <c r="G177">
        <v>0.15</v>
      </c>
      <c r="H177">
        <v>250.98</v>
      </c>
      <c r="I177" t="s">
        <v>147</v>
      </c>
      <c r="J177" t="s">
        <v>24</v>
      </c>
      <c r="K177" t="s">
        <v>17</v>
      </c>
      <c r="L177" t="s">
        <v>148</v>
      </c>
      <c r="M177">
        <v>133.0259182699952</v>
      </c>
      <c r="N177">
        <v>62.744999999999997</v>
      </c>
    </row>
    <row r="178" spans="1:14" x14ac:dyDescent="0.3">
      <c r="A178">
        <v>7177</v>
      </c>
      <c r="B178">
        <v>37</v>
      </c>
      <c r="C178" s="1">
        <v>45657</v>
      </c>
      <c r="D178" t="s">
        <v>43</v>
      </c>
      <c r="E178">
        <v>7.29</v>
      </c>
      <c r="F178">
        <v>5</v>
      </c>
      <c r="G178">
        <v>0.1</v>
      </c>
      <c r="H178">
        <v>5</v>
      </c>
      <c r="I178" t="s">
        <v>80</v>
      </c>
      <c r="J178" t="s">
        <v>16</v>
      </c>
      <c r="K178" t="s">
        <v>17</v>
      </c>
      <c r="L178" t="s">
        <v>81</v>
      </c>
      <c r="M178">
        <v>68.587105624142666</v>
      </c>
      <c r="N178">
        <v>1</v>
      </c>
    </row>
    <row r="179" spans="1:14" x14ac:dyDescent="0.3">
      <c r="A179">
        <v>7178</v>
      </c>
      <c r="B179">
        <v>29</v>
      </c>
      <c r="C179" s="1">
        <v>45594</v>
      </c>
      <c r="D179" t="s">
        <v>46</v>
      </c>
      <c r="E179">
        <v>255.66</v>
      </c>
      <c r="F179">
        <v>4</v>
      </c>
      <c r="G179">
        <v>0.2</v>
      </c>
      <c r="H179">
        <v>315.77</v>
      </c>
      <c r="I179" t="s">
        <v>61</v>
      </c>
      <c r="J179" t="s">
        <v>20</v>
      </c>
      <c r="K179" t="s">
        <v>39</v>
      </c>
      <c r="L179" t="s">
        <v>62</v>
      </c>
      <c r="M179">
        <v>123.51169522021431</v>
      </c>
      <c r="N179">
        <v>78.942499999999995</v>
      </c>
    </row>
    <row r="180" spans="1:14" x14ac:dyDescent="0.3">
      <c r="A180">
        <v>7179</v>
      </c>
      <c r="B180">
        <v>18</v>
      </c>
      <c r="C180" s="1">
        <v>45504</v>
      </c>
      <c r="D180" t="s">
        <v>26</v>
      </c>
      <c r="E180">
        <v>148.15</v>
      </c>
      <c r="F180">
        <v>2</v>
      </c>
      <c r="G180">
        <v>0</v>
      </c>
      <c r="H180">
        <v>108.1</v>
      </c>
      <c r="I180" t="s">
        <v>92</v>
      </c>
      <c r="J180" t="s">
        <v>20</v>
      </c>
      <c r="K180" t="s">
        <v>32</v>
      </c>
      <c r="L180" t="s">
        <v>93</v>
      </c>
      <c r="M180">
        <v>72.966587917651026</v>
      </c>
      <c r="N180">
        <v>54.05</v>
      </c>
    </row>
    <row r="181" spans="1:14" x14ac:dyDescent="0.3">
      <c r="A181">
        <v>7180</v>
      </c>
      <c r="B181">
        <v>15</v>
      </c>
      <c r="C181" s="1">
        <v>45326</v>
      </c>
      <c r="D181" t="s">
        <v>26</v>
      </c>
      <c r="E181">
        <v>45.81</v>
      </c>
      <c r="F181">
        <v>3</v>
      </c>
      <c r="G181">
        <v>0.15</v>
      </c>
      <c r="H181">
        <v>40.79</v>
      </c>
      <c r="I181" t="s">
        <v>113</v>
      </c>
      <c r="J181" t="s">
        <v>24</v>
      </c>
      <c r="K181" t="s">
        <v>17</v>
      </c>
      <c r="L181" t="s">
        <v>114</v>
      </c>
      <c r="M181">
        <v>89.041693953285304</v>
      </c>
      <c r="N181">
        <v>13.596666666666669</v>
      </c>
    </row>
    <row r="182" spans="1:14" x14ac:dyDescent="0.3">
      <c r="A182">
        <v>7181</v>
      </c>
      <c r="B182">
        <v>13</v>
      </c>
      <c r="C182" s="1">
        <v>45459</v>
      </c>
      <c r="D182" t="s">
        <v>26</v>
      </c>
      <c r="E182">
        <v>57.07</v>
      </c>
      <c r="F182">
        <v>2</v>
      </c>
      <c r="G182">
        <v>0.1</v>
      </c>
      <c r="H182">
        <v>30.09</v>
      </c>
      <c r="I182" t="s">
        <v>147</v>
      </c>
      <c r="J182" t="s">
        <v>24</v>
      </c>
      <c r="K182" t="s">
        <v>17</v>
      </c>
      <c r="L182" t="s">
        <v>148</v>
      </c>
      <c r="M182">
        <v>52.72472402312949</v>
      </c>
      <c r="N182">
        <v>15.045</v>
      </c>
    </row>
    <row r="183" spans="1:14" x14ac:dyDescent="0.3">
      <c r="A183">
        <v>7182</v>
      </c>
      <c r="B183">
        <v>54</v>
      </c>
      <c r="C183" s="1">
        <v>45655</v>
      </c>
      <c r="D183" t="s">
        <v>43</v>
      </c>
      <c r="E183">
        <v>20.49</v>
      </c>
      <c r="F183">
        <v>4</v>
      </c>
      <c r="G183">
        <v>0</v>
      </c>
      <c r="H183">
        <v>15.23</v>
      </c>
      <c r="I183" t="s">
        <v>131</v>
      </c>
      <c r="J183" t="s">
        <v>24</v>
      </c>
      <c r="K183" t="s">
        <v>32</v>
      </c>
      <c r="L183" t="s">
        <v>132</v>
      </c>
      <c r="M183">
        <v>74.328940946803328</v>
      </c>
      <c r="N183">
        <v>3.8075000000000001</v>
      </c>
    </row>
    <row r="184" spans="1:14" x14ac:dyDescent="0.3">
      <c r="A184">
        <v>7183</v>
      </c>
      <c r="B184">
        <v>4</v>
      </c>
      <c r="C184" s="1">
        <v>45315</v>
      </c>
      <c r="D184" t="s">
        <v>26</v>
      </c>
      <c r="E184">
        <v>145.85</v>
      </c>
      <c r="F184">
        <v>7</v>
      </c>
      <c r="G184">
        <v>0.15</v>
      </c>
      <c r="H184">
        <v>223.43</v>
      </c>
      <c r="I184" t="s">
        <v>140</v>
      </c>
      <c r="J184" t="s">
        <v>20</v>
      </c>
      <c r="K184" t="s">
        <v>17</v>
      </c>
      <c r="L184" t="s">
        <v>141</v>
      </c>
      <c r="M184">
        <v>153.1916352416867</v>
      </c>
      <c r="N184">
        <v>31.918571428571429</v>
      </c>
    </row>
    <row r="185" spans="1:14" x14ac:dyDescent="0.3">
      <c r="A185">
        <v>7184</v>
      </c>
      <c r="B185">
        <v>10</v>
      </c>
      <c r="C185" s="1">
        <v>45292</v>
      </c>
      <c r="D185" t="s">
        <v>14</v>
      </c>
      <c r="E185">
        <v>1055.4000000000001</v>
      </c>
      <c r="F185">
        <v>2</v>
      </c>
      <c r="G185">
        <v>0.1</v>
      </c>
      <c r="H185">
        <v>343.58</v>
      </c>
      <c r="I185" t="s">
        <v>23</v>
      </c>
      <c r="J185" t="s">
        <v>24</v>
      </c>
      <c r="K185" t="s">
        <v>17</v>
      </c>
      <c r="L185" t="s">
        <v>25</v>
      </c>
      <c r="M185">
        <v>32.55448171309456</v>
      </c>
      <c r="N185">
        <v>171.79</v>
      </c>
    </row>
    <row r="186" spans="1:14" x14ac:dyDescent="0.3">
      <c r="A186">
        <v>7185</v>
      </c>
      <c r="B186">
        <v>29</v>
      </c>
      <c r="C186" s="1">
        <v>45535</v>
      </c>
      <c r="D186" t="s">
        <v>43</v>
      </c>
      <c r="E186">
        <v>56.93</v>
      </c>
      <c r="F186">
        <v>3</v>
      </c>
      <c r="G186">
        <v>0</v>
      </c>
      <c r="H186">
        <v>56.84</v>
      </c>
      <c r="I186" t="s">
        <v>61</v>
      </c>
      <c r="J186" t="s">
        <v>20</v>
      </c>
      <c r="K186" t="s">
        <v>39</v>
      </c>
      <c r="L186" t="s">
        <v>62</v>
      </c>
      <c r="M186">
        <v>99.841911118917977</v>
      </c>
      <c r="N186">
        <v>18.946666666666669</v>
      </c>
    </row>
    <row r="187" spans="1:14" x14ac:dyDescent="0.3">
      <c r="A187">
        <v>7186</v>
      </c>
      <c r="B187">
        <v>25</v>
      </c>
      <c r="C187" s="1">
        <v>45650</v>
      </c>
      <c r="D187" t="s">
        <v>14</v>
      </c>
      <c r="E187">
        <v>908.54</v>
      </c>
      <c r="F187">
        <v>3</v>
      </c>
      <c r="G187">
        <v>0.15</v>
      </c>
      <c r="H187">
        <v>454.46</v>
      </c>
      <c r="I187" t="s">
        <v>53</v>
      </c>
      <c r="J187" t="s">
        <v>54</v>
      </c>
      <c r="K187" t="s">
        <v>17</v>
      </c>
      <c r="L187" t="s">
        <v>55</v>
      </c>
      <c r="M187">
        <v>50.020912673079877</v>
      </c>
      <c r="N187">
        <v>151.48666666666671</v>
      </c>
    </row>
    <row r="188" spans="1:14" x14ac:dyDescent="0.3">
      <c r="A188">
        <v>7187</v>
      </c>
      <c r="B188">
        <v>12</v>
      </c>
      <c r="C188" s="1">
        <v>45416</v>
      </c>
      <c r="D188" t="s">
        <v>26</v>
      </c>
      <c r="E188">
        <v>124.24</v>
      </c>
      <c r="F188">
        <v>5</v>
      </c>
      <c r="G188">
        <v>0</v>
      </c>
      <c r="H188">
        <v>104.98</v>
      </c>
      <c r="I188" t="s">
        <v>78</v>
      </c>
      <c r="J188" t="s">
        <v>64</v>
      </c>
      <c r="K188" t="s">
        <v>17</v>
      </c>
      <c r="L188" t="s">
        <v>79</v>
      </c>
      <c r="M188">
        <v>84.497746297488746</v>
      </c>
      <c r="N188">
        <v>20.995999999999999</v>
      </c>
    </row>
    <row r="189" spans="1:14" x14ac:dyDescent="0.3">
      <c r="A189">
        <v>7188</v>
      </c>
      <c r="B189">
        <v>37</v>
      </c>
      <c r="C189" s="1">
        <v>45453</v>
      </c>
      <c r="D189" t="s">
        <v>46</v>
      </c>
      <c r="E189">
        <v>99.92</v>
      </c>
      <c r="F189">
        <v>3</v>
      </c>
      <c r="G189">
        <v>0</v>
      </c>
      <c r="H189">
        <v>108.01</v>
      </c>
      <c r="I189" t="s">
        <v>80</v>
      </c>
      <c r="J189" t="s">
        <v>16</v>
      </c>
      <c r="K189" t="s">
        <v>17</v>
      </c>
      <c r="L189" t="s">
        <v>81</v>
      </c>
      <c r="M189">
        <v>108.0964771817454</v>
      </c>
      <c r="N189">
        <v>36.003333333333337</v>
      </c>
    </row>
    <row r="190" spans="1:14" x14ac:dyDescent="0.3">
      <c r="A190">
        <v>7189</v>
      </c>
      <c r="B190">
        <v>15</v>
      </c>
      <c r="C190" s="1">
        <v>45463</v>
      </c>
      <c r="D190" t="s">
        <v>26</v>
      </c>
      <c r="E190">
        <v>67.86</v>
      </c>
      <c r="F190">
        <v>3</v>
      </c>
      <c r="G190">
        <v>0.1</v>
      </c>
      <c r="H190">
        <v>-47.35</v>
      </c>
      <c r="I190" t="s">
        <v>113</v>
      </c>
      <c r="J190" t="s">
        <v>24</v>
      </c>
      <c r="K190" t="s">
        <v>17</v>
      </c>
      <c r="L190" t="s">
        <v>114</v>
      </c>
      <c r="M190">
        <v>-69.776009431181848</v>
      </c>
      <c r="N190">
        <v>-15.78333333333333</v>
      </c>
    </row>
    <row r="191" spans="1:14" x14ac:dyDescent="0.3">
      <c r="A191">
        <v>7190</v>
      </c>
      <c r="B191">
        <v>37</v>
      </c>
      <c r="C191" s="1">
        <v>45604</v>
      </c>
      <c r="D191" t="s">
        <v>14</v>
      </c>
      <c r="E191">
        <v>347.67</v>
      </c>
      <c r="F191">
        <v>6</v>
      </c>
      <c r="G191">
        <v>0</v>
      </c>
      <c r="H191">
        <v>487.18</v>
      </c>
      <c r="I191" t="s">
        <v>80</v>
      </c>
      <c r="J191" t="s">
        <v>16</v>
      </c>
      <c r="K191" t="s">
        <v>17</v>
      </c>
      <c r="L191" t="s">
        <v>81</v>
      </c>
      <c r="M191">
        <v>140.1271320505077</v>
      </c>
      <c r="N191">
        <v>81.196666666666673</v>
      </c>
    </row>
    <row r="192" spans="1:14" x14ac:dyDescent="0.3">
      <c r="A192">
        <v>7191</v>
      </c>
      <c r="B192">
        <v>23</v>
      </c>
      <c r="C192" s="1">
        <v>45399</v>
      </c>
      <c r="D192" t="s">
        <v>29</v>
      </c>
      <c r="E192">
        <v>163.65</v>
      </c>
      <c r="F192">
        <v>1</v>
      </c>
      <c r="G192">
        <v>0.3</v>
      </c>
      <c r="H192">
        <v>48.19</v>
      </c>
      <c r="I192" t="s">
        <v>135</v>
      </c>
      <c r="J192" t="s">
        <v>64</v>
      </c>
      <c r="K192" t="s">
        <v>32</v>
      </c>
      <c r="L192" t="s">
        <v>136</v>
      </c>
      <c r="M192">
        <v>29.44699052856706</v>
      </c>
      <c r="N192">
        <v>48.19</v>
      </c>
    </row>
    <row r="193" spans="1:14" x14ac:dyDescent="0.3">
      <c r="A193">
        <v>7192</v>
      </c>
      <c r="B193">
        <v>67</v>
      </c>
      <c r="C193" s="1">
        <v>45439</v>
      </c>
      <c r="D193" t="s">
        <v>43</v>
      </c>
      <c r="E193">
        <v>48.5</v>
      </c>
      <c r="F193">
        <v>2</v>
      </c>
      <c r="G193">
        <v>0.1</v>
      </c>
      <c r="H193">
        <v>19.010000000000002</v>
      </c>
      <c r="I193" t="s">
        <v>99</v>
      </c>
      <c r="J193" t="s">
        <v>16</v>
      </c>
      <c r="K193" t="s">
        <v>39</v>
      </c>
      <c r="L193" t="s">
        <v>100</v>
      </c>
      <c r="M193">
        <v>39.195876288659797</v>
      </c>
      <c r="N193">
        <v>9.5050000000000008</v>
      </c>
    </row>
    <row r="194" spans="1:14" x14ac:dyDescent="0.3">
      <c r="A194">
        <v>7193</v>
      </c>
      <c r="B194">
        <v>13</v>
      </c>
      <c r="C194" s="1">
        <v>45355</v>
      </c>
      <c r="D194" t="s">
        <v>14</v>
      </c>
      <c r="E194">
        <v>313.20999999999998</v>
      </c>
      <c r="F194">
        <v>7</v>
      </c>
      <c r="G194">
        <v>0</v>
      </c>
      <c r="H194">
        <v>377.16</v>
      </c>
      <c r="I194" t="s">
        <v>147</v>
      </c>
      <c r="J194" t="s">
        <v>24</v>
      </c>
      <c r="K194" t="s">
        <v>17</v>
      </c>
      <c r="L194" t="s">
        <v>148</v>
      </c>
      <c r="M194">
        <v>120.41761118738231</v>
      </c>
      <c r="N194">
        <v>53.88</v>
      </c>
    </row>
    <row r="195" spans="1:14" x14ac:dyDescent="0.3">
      <c r="A195">
        <v>7194</v>
      </c>
      <c r="B195">
        <v>9</v>
      </c>
      <c r="C195" s="1">
        <v>45630</v>
      </c>
      <c r="D195" t="s">
        <v>43</v>
      </c>
      <c r="E195">
        <v>14.49</v>
      </c>
      <c r="F195">
        <v>3</v>
      </c>
      <c r="G195">
        <v>0.1</v>
      </c>
      <c r="H195">
        <v>15.04</v>
      </c>
      <c r="I195" t="s">
        <v>103</v>
      </c>
      <c r="J195" t="s">
        <v>24</v>
      </c>
      <c r="K195" t="s">
        <v>17</v>
      </c>
      <c r="L195" t="s">
        <v>104</v>
      </c>
      <c r="M195">
        <v>103.79572118702551</v>
      </c>
      <c r="N195">
        <v>5.0133333333333328</v>
      </c>
    </row>
    <row r="196" spans="1:14" x14ac:dyDescent="0.3">
      <c r="A196">
        <v>7195</v>
      </c>
      <c r="B196">
        <v>51</v>
      </c>
      <c r="C196" s="1">
        <v>45494</v>
      </c>
      <c r="D196" t="s">
        <v>22</v>
      </c>
      <c r="E196">
        <v>117.39</v>
      </c>
      <c r="F196">
        <v>6</v>
      </c>
      <c r="G196">
        <v>0.05</v>
      </c>
      <c r="H196">
        <v>126.63</v>
      </c>
      <c r="I196" t="s">
        <v>27</v>
      </c>
      <c r="J196" t="s">
        <v>16</v>
      </c>
      <c r="K196" t="s">
        <v>17</v>
      </c>
      <c r="L196" t="s">
        <v>28</v>
      </c>
      <c r="M196">
        <v>107.871198568873</v>
      </c>
      <c r="N196">
        <v>21.105</v>
      </c>
    </row>
    <row r="197" spans="1:14" x14ac:dyDescent="0.3">
      <c r="A197">
        <v>7196</v>
      </c>
      <c r="B197">
        <v>32</v>
      </c>
      <c r="C197" s="1">
        <v>45474</v>
      </c>
      <c r="D197" t="s">
        <v>46</v>
      </c>
      <c r="E197">
        <v>378.72</v>
      </c>
      <c r="F197">
        <v>5</v>
      </c>
      <c r="G197">
        <v>0.05</v>
      </c>
      <c r="H197">
        <v>804.22</v>
      </c>
      <c r="I197" t="s">
        <v>44</v>
      </c>
      <c r="J197" t="s">
        <v>24</v>
      </c>
      <c r="K197" t="s">
        <v>17</v>
      </c>
      <c r="L197" t="s">
        <v>45</v>
      </c>
      <c r="M197">
        <v>212.3521335023236</v>
      </c>
      <c r="N197">
        <v>160.84399999999999</v>
      </c>
    </row>
    <row r="198" spans="1:14" x14ac:dyDescent="0.3">
      <c r="A198">
        <v>7197</v>
      </c>
      <c r="B198">
        <v>41</v>
      </c>
      <c r="C198" s="1">
        <v>45293</v>
      </c>
      <c r="D198" t="s">
        <v>14</v>
      </c>
      <c r="E198">
        <v>543.41</v>
      </c>
      <c r="F198">
        <v>3</v>
      </c>
      <c r="G198">
        <v>0</v>
      </c>
      <c r="H198">
        <v>430.96</v>
      </c>
      <c r="I198" t="s">
        <v>120</v>
      </c>
      <c r="J198" t="s">
        <v>16</v>
      </c>
      <c r="K198" t="s">
        <v>32</v>
      </c>
      <c r="L198" t="s">
        <v>121</v>
      </c>
      <c r="M198">
        <v>79.306600909074177</v>
      </c>
      <c r="N198">
        <v>143.65333333333331</v>
      </c>
    </row>
    <row r="199" spans="1:14" x14ac:dyDescent="0.3">
      <c r="A199">
        <v>7198</v>
      </c>
      <c r="B199">
        <v>22</v>
      </c>
      <c r="C199" s="1">
        <v>45367</v>
      </c>
      <c r="D199" t="s">
        <v>46</v>
      </c>
      <c r="E199">
        <v>373.18</v>
      </c>
      <c r="F199">
        <v>5</v>
      </c>
      <c r="G199">
        <v>0</v>
      </c>
      <c r="H199">
        <v>290.45999999999998</v>
      </c>
      <c r="I199" t="s">
        <v>149</v>
      </c>
      <c r="J199" t="s">
        <v>64</v>
      </c>
      <c r="K199" t="s">
        <v>17</v>
      </c>
      <c r="L199" t="s">
        <v>150</v>
      </c>
      <c r="M199">
        <v>77.833753148614605</v>
      </c>
      <c r="N199">
        <v>58.091999999999999</v>
      </c>
    </row>
    <row r="200" spans="1:14" x14ac:dyDescent="0.3">
      <c r="A200">
        <v>7199</v>
      </c>
      <c r="B200">
        <v>57</v>
      </c>
      <c r="C200" s="1">
        <v>45324</v>
      </c>
      <c r="D200" t="s">
        <v>46</v>
      </c>
      <c r="E200">
        <v>357.18</v>
      </c>
      <c r="F200">
        <v>6</v>
      </c>
      <c r="G200">
        <v>0.15</v>
      </c>
      <c r="H200">
        <v>730.96</v>
      </c>
      <c r="I200" t="s">
        <v>90</v>
      </c>
      <c r="J200" t="s">
        <v>54</v>
      </c>
      <c r="K200" t="s">
        <v>39</v>
      </c>
      <c r="L200" t="s">
        <v>91</v>
      </c>
      <c r="M200">
        <v>204.64751665826751</v>
      </c>
      <c r="N200">
        <v>121.8266666666667</v>
      </c>
    </row>
    <row r="201" spans="1:14" x14ac:dyDescent="0.3">
      <c r="A201">
        <v>7200</v>
      </c>
      <c r="B201">
        <v>12</v>
      </c>
      <c r="C201" s="1">
        <v>45589</v>
      </c>
      <c r="D201" t="s">
        <v>46</v>
      </c>
      <c r="E201">
        <v>178.24</v>
      </c>
      <c r="F201">
        <v>2</v>
      </c>
      <c r="G201">
        <v>0.15</v>
      </c>
      <c r="H201">
        <v>98.04</v>
      </c>
      <c r="I201" t="s">
        <v>78</v>
      </c>
      <c r="J201" t="s">
        <v>64</v>
      </c>
      <c r="K201" t="s">
        <v>17</v>
      </c>
      <c r="L201" t="s">
        <v>79</v>
      </c>
      <c r="M201">
        <v>55.004488330341118</v>
      </c>
      <c r="N201">
        <v>49.02</v>
      </c>
    </row>
    <row r="202" spans="1:14" x14ac:dyDescent="0.3">
      <c r="A202">
        <v>7201</v>
      </c>
      <c r="B202">
        <v>36</v>
      </c>
      <c r="C202" s="1">
        <v>45507</v>
      </c>
      <c r="D202" t="s">
        <v>22</v>
      </c>
      <c r="E202">
        <v>54.13</v>
      </c>
      <c r="F202">
        <v>2</v>
      </c>
      <c r="G202">
        <v>0</v>
      </c>
      <c r="H202">
        <v>37.06</v>
      </c>
      <c r="I202" t="s">
        <v>68</v>
      </c>
      <c r="J202" t="s">
        <v>20</v>
      </c>
      <c r="K202" t="s">
        <v>32</v>
      </c>
      <c r="L202" t="s">
        <v>69</v>
      </c>
      <c r="M202">
        <v>68.464806946240529</v>
      </c>
      <c r="N202">
        <v>18.53</v>
      </c>
    </row>
    <row r="203" spans="1:14" x14ac:dyDescent="0.3">
      <c r="A203">
        <v>7202</v>
      </c>
      <c r="B203">
        <v>1</v>
      </c>
      <c r="C203" s="1">
        <v>45531</v>
      </c>
      <c r="D203" t="s">
        <v>22</v>
      </c>
      <c r="E203">
        <v>13.12</v>
      </c>
      <c r="F203">
        <v>3</v>
      </c>
      <c r="G203">
        <v>0.05</v>
      </c>
      <c r="H203">
        <v>14.09</v>
      </c>
      <c r="I203" t="s">
        <v>56</v>
      </c>
      <c r="J203" t="s">
        <v>31</v>
      </c>
      <c r="K203" t="s">
        <v>32</v>
      </c>
      <c r="L203" t="s">
        <v>57</v>
      </c>
      <c r="M203">
        <v>107.3932926829268</v>
      </c>
      <c r="N203">
        <v>4.6966666666666663</v>
      </c>
    </row>
    <row r="204" spans="1:14" x14ac:dyDescent="0.3">
      <c r="A204">
        <v>7203</v>
      </c>
      <c r="B204">
        <v>49</v>
      </c>
      <c r="C204" s="1">
        <v>45392</v>
      </c>
      <c r="D204" t="s">
        <v>14</v>
      </c>
      <c r="E204">
        <v>885.21</v>
      </c>
      <c r="F204">
        <v>-6</v>
      </c>
      <c r="G204">
        <v>0</v>
      </c>
      <c r="H204">
        <v>1475.98</v>
      </c>
      <c r="I204" t="s">
        <v>70</v>
      </c>
      <c r="J204" t="s">
        <v>31</v>
      </c>
      <c r="K204" t="s">
        <v>17</v>
      </c>
      <c r="L204" t="s">
        <v>71</v>
      </c>
      <c r="M204">
        <v>166.7378362196541</v>
      </c>
      <c r="N204">
        <v>-245.9966666666667</v>
      </c>
    </row>
    <row r="205" spans="1:14" x14ac:dyDescent="0.3">
      <c r="A205">
        <v>7204</v>
      </c>
      <c r="B205">
        <v>64</v>
      </c>
      <c r="C205" s="1">
        <v>45465</v>
      </c>
      <c r="D205" t="s">
        <v>26</v>
      </c>
      <c r="E205">
        <v>77.37</v>
      </c>
      <c r="F205">
        <v>2</v>
      </c>
      <c r="G205">
        <v>0.2</v>
      </c>
      <c r="H205">
        <v>54.98</v>
      </c>
      <c r="I205" t="s">
        <v>51</v>
      </c>
      <c r="J205" t="s">
        <v>24</v>
      </c>
      <c r="K205" t="s">
        <v>32</v>
      </c>
      <c r="L205" t="s">
        <v>52</v>
      </c>
      <c r="M205">
        <v>71.061134806772642</v>
      </c>
      <c r="N205">
        <v>27.49</v>
      </c>
    </row>
    <row r="206" spans="1:14" x14ac:dyDescent="0.3">
      <c r="A206">
        <v>7205</v>
      </c>
      <c r="B206">
        <v>2</v>
      </c>
      <c r="C206" s="1">
        <v>45632</v>
      </c>
      <c r="D206" t="s">
        <v>26</v>
      </c>
      <c r="E206">
        <v>13.93</v>
      </c>
      <c r="F206">
        <v>7</v>
      </c>
      <c r="G206">
        <v>0</v>
      </c>
      <c r="H206">
        <v>42.11</v>
      </c>
      <c r="I206" t="s">
        <v>151</v>
      </c>
      <c r="J206" t="s">
        <v>20</v>
      </c>
      <c r="K206" t="s">
        <v>17</v>
      </c>
      <c r="L206" t="s">
        <v>152</v>
      </c>
      <c r="M206">
        <v>302.29720028715008</v>
      </c>
      <c r="N206">
        <v>6.015714285714286</v>
      </c>
    </row>
    <row r="207" spans="1:14" x14ac:dyDescent="0.3">
      <c r="A207">
        <v>7206</v>
      </c>
      <c r="B207">
        <v>70</v>
      </c>
      <c r="C207" s="1">
        <v>45531</v>
      </c>
      <c r="D207" t="s">
        <v>46</v>
      </c>
      <c r="E207">
        <v>23.97</v>
      </c>
      <c r="F207">
        <v>6</v>
      </c>
      <c r="G207">
        <v>0.3</v>
      </c>
      <c r="H207">
        <v>39.79</v>
      </c>
      <c r="I207" t="s">
        <v>142</v>
      </c>
      <c r="J207" t="s">
        <v>24</v>
      </c>
      <c r="K207" t="s">
        <v>17</v>
      </c>
      <c r="L207" t="s">
        <v>143</v>
      </c>
      <c r="M207">
        <v>165.99916562369631</v>
      </c>
      <c r="N207">
        <v>6.6316666666666668</v>
      </c>
    </row>
    <row r="208" spans="1:14" x14ac:dyDescent="0.3">
      <c r="A208">
        <v>7207</v>
      </c>
      <c r="B208">
        <v>15</v>
      </c>
      <c r="C208" s="1">
        <v>45619</v>
      </c>
      <c r="D208" t="s">
        <v>14</v>
      </c>
      <c r="E208">
        <v>64.47</v>
      </c>
      <c r="F208">
        <v>4</v>
      </c>
      <c r="G208">
        <v>0</v>
      </c>
      <c r="H208">
        <v>99.68</v>
      </c>
      <c r="I208" t="s">
        <v>113</v>
      </c>
      <c r="J208" t="s">
        <v>24</v>
      </c>
      <c r="K208" t="s">
        <v>17</v>
      </c>
      <c r="L208" t="s">
        <v>114</v>
      </c>
      <c r="M208">
        <v>154.614549402823</v>
      </c>
      <c r="N208">
        <v>24.92</v>
      </c>
    </row>
    <row r="209" spans="1:14" x14ac:dyDescent="0.3">
      <c r="A209">
        <v>7208</v>
      </c>
      <c r="B209">
        <v>24</v>
      </c>
      <c r="C209" s="1">
        <v>45488</v>
      </c>
      <c r="D209" t="s">
        <v>43</v>
      </c>
      <c r="E209">
        <v>56.13</v>
      </c>
      <c r="F209">
        <v>3</v>
      </c>
      <c r="G209">
        <v>0.2</v>
      </c>
      <c r="H209">
        <v>50.92</v>
      </c>
      <c r="I209" t="s">
        <v>47</v>
      </c>
      <c r="J209" t="s">
        <v>20</v>
      </c>
      <c r="K209" t="s">
        <v>32</v>
      </c>
      <c r="L209" t="s">
        <v>48</v>
      </c>
      <c r="M209">
        <v>90.717976126848384</v>
      </c>
      <c r="N209">
        <v>16.973333333333329</v>
      </c>
    </row>
    <row r="210" spans="1:14" x14ac:dyDescent="0.3">
      <c r="A210">
        <v>7209</v>
      </c>
      <c r="B210">
        <v>17</v>
      </c>
      <c r="C210" s="1">
        <v>45513</v>
      </c>
      <c r="D210" t="s">
        <v>14</v>
      </c>
      <c r="E210">
        <v>545.80999999999995</v>
      </c>
      <c r="F210">
        <v>4</v>
      </c>
      <c r="G210">
        <v>0</v>
      </c>
      <c r="H210">
        <v>728.68</v>
      </c>
      <c r="I210" t="s">
        <v>68</v>
      </c>
      <c r="J210" t="s">
        <v>54</v>
      </c>
      <c r="K210" t="s">
        <v>17</v>
      </c>
      <c r="L210" t="s">
        <v>115</v>
      </c>
      <c r="M210">
        <v>133.5043330096554</v>
      </c>
      <c r="N210">
        <v>182.17</v>
      </c>
    </row>
    <row r="211" spans="1:14" x14ac:dyDescent="0.3">
      <c r="A211">
        <v>7210</v>
      </c>
      <c r="B211">
        <v>30</v>
      </c>
      <c r="C211" s="1">
        <v>45463</v>
      </c>
      <c r="D211" t="s">
        <v>14</v>
      </c>
      <c r="E211">
        <v>822.67</v>
      </c>
      <c r="F211">
        <v>2</v>
      </c>
      <c r="G211">
        <v>0.15</v>
      </c>
      <c r="H211">
        <v>458.42</v>
      </c>
      <c r="I211" t="s">
        <v>38</v>
      </c>
      <c r="J211" t="s">
        <v>24</v>
      </c>
      <c r="K211" t="s">
        <v>39</v>
      </c>
      <c r="L211" t="s">
        <v>40</v>
      </c>
      <c r="M211">
        <v>55.723437101146267</v>
      </c>
      <c r="N211">
        <v>229.21</v>
      </c>
    </row>
    <row r="212" spans="1:14" x14ac:dyDescent="0.3">
      <c r="A212">
        <v>7211</v>
      </c>
      <c r="B212">
        <v>28</v>
      </c>
      <c r="C212" s="1">
        <v>45467</v>
      </c>
      <c r="D212" t="s">
        <v>43</v>
      </c>
      <c r="E212">
        <v>34.14</v>
      </c>
      <c r="F212">
        <v>2</v>
      </c>
      <c r="G212">
        <v>0.1</v>
      </c>
      <c r="H212">
        <v>13.2</v>
      </c>
      <c r="I212" t="s">
        <v>76</v>
      </c>
      <c r="J212" t="s">
        <v>24</v>
      </c>
      <c r="K212" t="s">
        <v>32</v>
      </c>
      <c r="L212" t="s">
        <v>77</v>
      </c>
      <c r="M212">
        <v>38.664323374340952</v>
      </c>
      <c r="N212">
        <v>6.6</v>
      </c>
    </row>
    <row r="213" spans="1:14" x14ac:dyDescent="0.3">
      <c r="A213">
        <v>7212</v>
      </c>
      <c r="B213">
        <v>18</v>
      </c>
      <c r="C213" s="1">
        <v>45302</v>
      </c>
      <c r="D213" t="s">
        <v>46</v>
      </c>
      <c r="E213">
        <v>270.95</v>
      </c>
      <c r="F213">
        <v>3</v>
      </c>
      <c r="G213">
        <v>0.05</v>
      </c>
      <c r="H213">
        <v>283.58999999999997</v>
      </c>
      <c r="I213" t="s">
        <v>92</v>
      </c>
      <c r="J213" t="s">
        <v>20</v>
      </c>
      <c r="K213" t="s">
        <v>32</v>
      </c>
      <c r="L213" t="s">
        <v>93</v>
      </c>
      <c r="M213">
        <v>104.6650673556007</v>
      </c>
      <c r="N213">
        <v>94.529999999999987</v>
      </c>
    </row>
    <row r="214" spans="1:14" x14ac:dyDescent="0.3">
      <c r="A214">
        <v>7213</v>
      </c>
      <c r="B214">
        <v>35</v>
      </c>
      <c r="C214" s="1">
        <v>45360</v>
      </c>
      <c r="D214" t="s">
        <v>14</v>
      </c>
      <c r="E214">
        <v>887.04</v>
      </c>
      <c r="F214">
        <v>1</v>
      </c>
      <c r="G214">
        <v>0</v>
      </c>
      <c r="H214">
        <v>263.89999999999998</v>
      </c>
      <c r="I214" t="s">
        <v>127</v>
      </c>
      <c r="J214" t="s">
        <v>20</v>
      </c>
      <c r="K214" t="s">
        <v>32</v>
      </c>
      <c r="L214" t="s">
        <v>128</v>
      </c>
      <c r="M214">
        <v>29.750631313131311</v>
      </c>
      <c r="N214">
        <v>263.89999999999998</v>
      </c>
    </row>
    <row r="215" spans="1:14" x14ac:dyDescent="0.3">
      <c r="A215">
        <v>7214</v>
      </c>
      <c r="B215">
        <v>21</v>
      </c>
      <c r="C215" s="1">
        <v>45615</v>
      </c>
      <c r="D215" t="s">
        <v>14</v>
      </c>
      <c r="E215">
        <v>982.44</v>
      </c>
      <c r="F215">
        <v>1</v>
      </c>
      <c r="G215">
        <v>0</v>
      </c>
      <c r="H215">
        <v>346.26</v>
      </c>
      <c r="I215" t="s">
        <v>97</v>
      </c>
      <c r="J215" t="s">
        <v>54</v>
      </c>
      <c r="K215" t="s">
        <v>17</v>
      </c>
      <c r="L215" t="s">
        <v>98</v>
      </c>
      <c r="M215">
        <v>35.244900451935997</v>
      </c>
      <c r="N215">
        <v>346.26</v>
      </c>
    </row>
    <row r="216" spans="1:14" x14ac:dyDescent="0.3">
      <c r="A216">
        <v>7215</v>
      </c>
      <c r="B216">
        <v>5</v>
      </c>
      <c r="C216" s="1">
        <v>45468</v>
      </c>
      <c r="D216" t="s">
        <v>46</v>
      </c>
      <c r="E216">
        <v>281.26</v>
      </c>
      <c r="F216">
        <v>2</v>
      </c>
      <c r="G216">
        <v>0</v>
      </c>
      <c r="H216">
        <v>149.65</v>
      </c>
      <c r="I216" t="s">
        <v>105</v>
      </c>
      <c r="J216" t="s">
        <v>54</v>
      </c>
      <c r="K216" t="s">
        <v>17</v>
      </c>
      <c r="L216" t="s">
        <v>106</v>
      </c>
      <c r="M216">
        <v>53.206997084548107</v>
      </c>
      <c r="N216">
        <v>74.825000000000003</v>
      </c>
    </row>
    <row r="217" spans="1:14" x14ac:dyDescent="0.3">
      <c r="A217">
        <v>7216</v>
      </c>
      <c r="B217">
        <v>47</v>
      </c>
      <c r="C217" s="1">
        <v>45613</v>
      </c>
      <c r="D217" t="s">
        <v>46</v>
      </c>
      <c r="E217">
        <v>59.21</v>
      </c>
      <c r="F217">
        <v>5</v>
      </c>
      <c r="G217">
        <v>0</v>
      </c>
      <c r="H217">
        <v>116.53</v>
      </c>
      <c r="I217" t="s">
        <v>30</v>
      </c>
      <c r="J217" t="s">
        <v>31</v>
      </c>
      <c r="K217" t="s">
        <v>32</v>
      </c>
      <c r="L217" t="s">
        <v>33</v>
      </c>
      <c r="M217">
        <v>196.80797162641451</v>
      </c>
      <c r="N217">
        <v>23.306000000000001</v>
      </c>
    </row>
    <row r="218" spans="1:14" x14ac:dyDescent="0.3">
      <c r="A218">
        <v>7217</v>
      </c>
      <c r="B218">
        <v>12</v>
      </c>
      <c r="C218" s="1">
        <v>45347</v>
      </c>
      <c r="D218" t="s">
        <v>22</v>
      </c>
      <c r="E218">
        <v>43.57</v>
      </c>
      <c r="F218">
        <v>4</v>
      </c>
      <c r="G218">
        <v>0.1</v>
      </c>
      <c r="H218">
        <v>32.950000000000003</v>
      </c>
      <c r="I218" t="s">
        <v>78</v>
      </c>
      <c r="J218" t="s">
        <v>64</v>
      </c>
      <c r="K218" t="s">
        <v>17</v>
      </c>
      <c r="L218" t="s">
        <v>79</v>
      </c>
      <c r="M218">
        <v>75.625430341978429</v>
      </c>
      <c r="N218">
        <v>8.2375000000000007</v>
      </c>
    </row>
    <row r="219" spans="1:14" x14ac:dyDescent="0.3">
      <c r="A219">
        <v>7218</v>
      </c>
      <c r="B219">
        <v>57</v>
      </c>
      <c r="C219" s="1">
        <v>45331</v>
      </c>
      <c r="D219" t="s">
        <v>43</v>
      </c>
      <c r="E219">
        <v>50.45</v>
      </c>
      <c r="F219">
        <v>2</v>
      </c>
      <c r="G219">
        <v>0</v>
      </c>
      <c r="H219">
        <v>31.79</v>
      </c>
      <c r="I219" t="s">
        <v>90</v>
      </c>
      <c r="J219" t="s">
        <v>54</v>
      </c>
      <c r="K219" t="s">
        <v>39</v>
      </c>
      <c r="L219" t="s">
        <v>91</v>
      </c>
      <c r="M219">
        <v>63.012884043607528</v>
      </c>
      <c r="N219">
        <v>15.895</v>
      </c>
    </row>
    <row r="220" spans="1:14" x14ac:dyDescent="0.3">
      <c r="A220">
        <v>7219</v>
      </c>
      <c r="B220">
        <v>24</v>
      </c>
      <c r="C220" s="1">
        <v>45396</v>
      </c>
      <c r="D220" t="s">
        <v>29</v>
      </c>
      <c r="E220">
        <v>38.380000000000003</v>
      </c>
      <c r="F220">
        <v>2</v>
      </c>
      <c r="G220">
        <v>0.2</v>
      </c>
      <c r="H220">
        <v>12.69</v>
      </c>
      <c r="I220" t="s">
        <v>47</v>
      </c>
      <c r="J220" t="s">
        <v>20</v>
      </c>
      <c r="K220" t="s">
        <v>32</v>
      </c>
      <c r="L220" t="s">
        <v>48</v>
      </c>
      <c r="M220">
        <v>33.064095883272529</v>
      </c>
      <c r="N220">
        <v>6.3449999999999998</v>
      </c>
    </row>
    <row r="221" spans="1:14" x14ac:dyDescent="0.3">
      <c r="A221">
        <v>7220</v>
      </c>
      <c r="B221">
        <v>7</v>
      </c>
      <c r="C221" s="1">
        <v>45577</v>
      </c>
      <c r="D221" t="s">
        <v>43</v>
      </c>
      <c r="E221">
        <v>41.61</v>
      </c>
      <c r="F221">
        <v>6</v>
      </c>
      <c r="G221">
        <v>0</v>
      </c>
      <c r="H221">
        <v>68.16</v>
      </c>
      <c r="I221" t="s">
        <v>118</v>
      </c>
      <c r="J221" t="s">
        <v>24</v>
      </c>
      <c r="K221" t="s">
        <v>17</v>
      </c>
      <c r="L221" t="s">
        <v>137</v>
      </c>
      <c r="M221">
        <v>163.80677721701511</v>
      </c>
      <c r="N221">
        <v>11.36</v>
      </c>
    </row>
    <row r="222" spans="1:14" x14ac:dyDescent="0.3">
      <c r="A222">
        <v>7221</v>
      </c>
      <c r="B222">
        <v>2</v>
      </c>
      <c r="C222" s="1">
        <v>45531</v>
      </c>
      <c r="D222" t="s">
        <v>43</v>
      </c>
      <c r="E222">
        <v>44.26</v>
      </c>
      <c r="F222">
        <v>5</v>
      </c>
      <c r="G222">
        <v>0.15</v>
      </c>
      <c r="H222">
        <v>54.62</v>
      </c>
      <c r="I222" t="s">
        <v>151</v>
      </c>
      <c r="J222" t="s">
        <v>20</v>
      </c>
      <c r="K222" t="s">
        <v>17</v>
      </c>
      <c r="L222" t="s">
        <v>152</v>
      </c>
      <c r="M222">
        <v>123.40713962946231</v>
      </c>
      <c r="N222">
        <v>10.923999999999999</v>
      </c>
    </row>
    <row r="223" spans="1:14" x14ac:dyDescent="0.3">
      <c r="A223">
        <v>7222</v>
      </c>
      <c r="B223">
        <v>3</v>
      </c>
      <c r="C223" s="1">
        <v>45346</v>
      </c>
      <c r="D223" t="s">
        <v>14</v>
      </c>
      <c r="E223">
        <v>178.66</v>
      </c>
      <c r="F223">
        <v>1</v>
      </c>
      <c r="G223">
        <v>0</v>
      </c>
      <c r="H223">
        <v>72.569999999999993</v>
      </c>
      <c r="I223" t="s">
        <v>19</v>
      </c>
      <c r="J223" t="s">
        <v>20</v>
      </c>
      <c r="K223" t="s">
        <v>17</v>
      </c>
      <c r="L223" t="s">
        <v>21</v>
      </c>
      <c r="M223">
        <v>40.619052949736933</v>
      </c>
      <c r="N223">
        <v>72.569999999999993</v>
      </c>
    </row>
    <row r="224" spans="1:14" x14ac:dyDescent="0.3">
      <c r="A224">
        <v>7223</v>
      </c>
      <c r="B224">
        <v>17</v>
      </c>
      <c r="C224" s="1">
        <v>45501</v>
      </c>
      <c r="D224" t="s">
        <v>26</v>
      </c>
      <c r="E224">
        <v>76.53</v>
      </c>
      <c r="F224">
        <v>1</v>
      </c>
      <c r="G224">
        <v>0.1</v>
      </c>
      <c r="H224">
        <v>24.7</v>
      </c>
      <c r="I224" t="s">
        <v>68</v>
      </c>
      <c r="J224" t="s">
        <v>54</v>
      </c>
      <c r="K224" t="s">
        <v>17</v>
      </c>
      <c r="L224" t="s">
        <v>115</v>
      </c>
      <c r="M224">
        <v>32.274924866065597</v>
      </c>
      <c r="N224">
        <v>24.7</v>
      </c>
    </row>
    <row r="225" spans="1:14" x14ac:dyDescent="0.3">
      <c r="A225">
        <v>7224</v>
      </c>
      <c r="B225">
        <v>14</v>
      </c>
      <c r="C225" s="1">
        <v>45470</v>
      </c>
      <c r="D225" t="s">
        <v>14</v>
      </c>
      <c r="E225">
        <v>847.92</v>
      </c>
      <c r="F225">
        <v>7</v>
      </c>
      <c r="G225">
        <v>0.05</v>
      </c>
      <c r="H225">
        <v>950.75</v>
      </c>
      <c r="I225" t="s">
        <v>41</v>
      </c>
      <c r="J225" t="s">
        <v>24</v>
      </c>
      <c r="K225" t="s">
        <v>17</v>
      </c>
      <c r="L225" t="s">
        <v>42</v>
      </c>
      <c r="M225">
        <v>112.12732333238991</v>
      </c>
      <c r="N225">
        <v>135.82142857142861</v>
      </c>
    </row>
    <row r="226" spans="1:14" x14ac:dyDescent="0.3">
      <c r="A226">
        <v>7225</v>
      </c>
      <c r="B226">
        <v>68</v>
      </c>
      <c r="C226" s="1">
        <v>45467</v>
      </c>
      <c r="D226" t="s">
        <v>43</v>
      </c>
      <c r="E226">
        <v>16.8</v>
      </c>
      <c r="F226">
        <v>1</v>
      </c>
      <c r="G226">
        <v>0.05</v>
      </c>
      <c r="H226">
        <v>6.91</v>
      </c>
      <c r="I226" t="s">
        <v>74</v>
      </c>
      <c r="J226" t="s">
        <v>16</v>
      </c>
      <c r="K226" t="s">
        <v>17</v>
      </c>
      <c r="L226" t="s">
        <v>75</v>
      </c>
      <c r="M226">
        <v>41.13095238095238</v>
      </c>
      <c r="N226">
        <v>6.91</v>
      </c>
    </row>
    <row r="227" spans="1:14" x14ac:dyDescent="0.3">
      <c r="A227">
        <v>7226</v>
      </c>
      <c r="B227">
        <v>63</v>
      </c>
      <c r="C227" s="1">
        <v>45472</v>
      </c>
      <c r="D227" t="s">
        <v>26</v>
      </c>
      <c r="E227">
        <v>36.909999999999997</v>
      </c>
      <c r="F227">
        <v>5</v>
      </c>
      <c r="G227">
        <v>0.15</v>
      </c>
      <c r="H227">
        <v>36.57</v>
      </c>
      <c r="I227" t="s">
        <v>153</v>
      </c>
      <c r="J227" t="s">
        <v>31</v>
      </c>
      <c r="K227" t="s">
        <v>39</v>
      </c>
      <c r="L227" t="s">
        <v>154</v>
      </c>
      <c r="M227">
        <v>99.078840422649691</v>
      </c>
      <c r="N227">
        <v>7.3140000000000001</v>
      </c>
    </row>
    <row r="228" spans="1:14" x14ac:dyDescent="0.3">
      <c r="A228">
        <v>7227</v>
      </c>
      <c r="B228">
        <v>45</v>
      </c>
      <c r="C228" s="1">
        <v>45620</v>
      </c>
      <c r="D228" t="s">
        <v>14</v>
      </c>
      <c r="E228">
        <v>283.7</v>
      </c>
      <c r="F228">
        <v>6</v>
      </c>
      <c r="G228">
        <v>0.3</v>
      </c>
      <c r="H228">
        <v>224.63</v>
      </c>
      <c r="I228" t="s">
        <v>144</v>
      </c>
      <c r="J228" t="s">
        <v>24</v>
      </c>
      <c r="K228" t="s">
        <v>32</v>
      </c>
      <c r="L228" t="s">
        <v>145</v>
      </c>
      <c r="M228">
        <v>79.178709904829049</v>
      </c>
      <c r="N228">
        <v>37.438333333333333</v>
      </c>
    </row>
    <row r="229" spans="1:14" x14ac:dyDescent="0.3">
      <c r="A229">
        <v>7228</v>
      </c>
      <c r="B229">
        <v>46</v>
      </c>
      <c r="C229" s="1">
        <v>45432</v>
      </c>
      <c r="D229" t="s">
        <v>14</v>
      </c>
      <c r="E229">
        <v>1168.6199999999999</v>
      </c>
      <c r="F229">
        <v>7</v>
      </c>
      <c r="G229">
        <v>0</v>
      </c>
      <c r="H229">
        <v>3046</v>
      </c>
      <c r="I229" t="s">
        <v>111</v>
      </c>
      <c r="J229" t="s">
        <v>20</v>
      </c>
      <c r="K229" t="s">
        <v>17</v>
      </c>
      <c r="L229" t="s">
        <v>112</v>
      </c>
      <c r="M229">
        <v>260.64931286474638</v>
      </c>
      <c r="N229">
        <v>435.14285714285722</v>
      </c>
    </row>
    <row r="230" spans="1:14" x14ac:dyDescent="0.3">
      <c r="A230">
        <v>7229</v>
      </c>
      <c r="B230">
        <v>38</v>
      </c>
      <c r="C230" s="1">
        <v>45396</v>
      </c>
      <c r="D230" t="s">
        <v>29</v>
      </c>
      <c r="E230">
        <v>72.97</v>
      </c>
      <c r="F230">
        <v>2</v>
      </c>
      <c r="G230">
        <v>0.15</v>
      </c>
      <c r="H230">
        <v>43.16</v>
      </c>
      <c r="I230" t="s">
        <v>34</v>
      </c>
      <c r="J230" t="s">
        <v>16</v>
      </c>
      <c r="K230" t="s">
        <v>32</v>
      </c>
      <c r="L230" t="s">
        <v>35</v>
      </c>
      <c r="M230">
        <v>59.147594902014532</v>
      </c>
      <c r="N230">
        <v>21.58</v>
      </c>
    </row>
    <row r="231" spans="1:14" x14ac:dyDescent="0.3">
      <c r="A231">
        <v>7230</v>
      </c>
      <c r="B231">
        <v>58</v>
      </c>
      <c r="C231" s="1">
        <v>45343</v>
      </c>
      <c r="D231" t="s">
        <v>29</v>
      </c>
      <c r="E231">
        <v>49.89</v>
      </c>
      <c r="F231">
        <v>1</v>
      </c>
      <c r="G231">
        <v>0.1</v>
      </c>
      <c r="H231">
        <v>-5.0999999999999996</v>
      </c>
      <c r="I231" t="s">
        <v>155</v>
      </c>
      <c r="J231" t="s">
        <v>24</v>
      </c>
      <c r="K231" t="s">
        <v>17</v>
      </c>
      <c r="L231" t="s">
        <v>156</v>
      </c>
      <c r="M231">
        <v>-10.22248947684907</v>
      </c>
      <c r="N231">
        <v>-5.0999999999999996</v>
      </c>
    </row>
    <row r="232" spans="1:14" x14ac:dyDescent="0.3">
      <c r="A232">
        <v>7231</v>
      </c>
      <c r="B232">
        <v>36</v>
      </c>
      <c r="C232" s="1">
        <v>45531</v>
      </c>
      <c r="D232" t="s">
        <v>14</v>
      </c>
      <c r="E232">
        <v>1022.96</v>
      </c>
      <c r="F232">
        <v>4</v>
      </c>
      <c r="G232">
        <v>0</v>
      </c>
      <c r="H232">
        <v>1281.28</v>
      </c>
      <c r="I232" t="s">
        <v>68</v>
      </c>
      <c r="J232" t="s">
        <v>20</v>
      </c>
      <c r="K232" t="s">
        <v>32</v>
      </c>
      <c r="L232" t="s">
        <v>69</v>
      </c>
      <c r="M232">
        <v>125.252209275045</v>
      </c>
      <c r="N232">
        <v>320.32</v>
      </c>
    </row>
    <row r="233" spans="1:14" x14ac:dyDescent="0.3">
      <c r="A233">
        <v>7232</v>
      </c>
      <c r="B233">
        <v>50</v>
      </c>
      <c r="C233" s="1">
        <v>45509</v>
      </c>
      <c r="D233" t="s">
        <v>43</v>
      </c>
      <c r="E233">
        <v>33.67</v>
      </c>
      <c r="F233">
        <v>5</v>
      </c>
      <c r="G233">
        <v>0</v>
      </c>
      <c r="H233">
        <v>52.06</v>
      </c>
      <c r="I233" t="s">
        <v>118</v>
      </c>
      <c r="J233" t="s">
        <v>16</v>
      </c>
      <c r="K233" t="s">
        <v>17</v>
      </c>
      <c r="L233" t="s">
        <v>119</v>
      </c>
      <c r="M233">
        <v>154.6183546183546</v>
      </c>
      <c r="N233">
        <v>10.412000000000001</v>
      </c>
    </row>
    <row r="234" spans="1:14" x14ac:dyDescent="0.3">
      <c r="A234">
        <v>7233</v>
      </c>
      <c r="B234">
        <v>20</v>
      </c>
      <c r="C234" s="1">
        <v>45507</v>
      </c>
      <c r="D234" t="s">
        <v>29</v>
      </c>
      <c r="E234">
        <v>103.42</v>
      </c>
      <c r="F234">
        <v>6</v>
      </c>
      <c r="G234">
        <v>0.1</v>
      </c>
      <c r="H234">
        <v>250.28</v>
      </c>
      <c r="I234" t="s">
        <v>88</v>
      </c>
      <c r="J234" t="s">
        <v>54</v>
      </c>
      <c r="K234" t="s">
        <v>32</v>
      </c>
      <c r="L234" t="s">
        <v>89</v>
      </c>
      <c r="M234">
        <v>242.00348095146009</v>
      </c>
      <c r="N234">
        <v>41.713333333333331</v>
      </c>
    </row>
    <row r="235" spans="1:14" x14ac:dyDescent="0.3">
      <c r="A235">
        <v>7234</v>
      </c>
      <c r="B235">
        <v>61</v>
      </c>
      <c r="C235" s="1">
        <v>45350</v>
      </c>
      <c r="D235" t="s">
        <v>43</v>
      </c>
      <c r="E235">
        <v>27.68</v>
      </c>
      <c r="F235">
        <v>5</v>
      </c>
      <c r="G235">
        <v>0.05</v>
      </c>
      <c r="H235">
        <v>51.31</v>
      </c>
      <c r="I235" t="s">
        <v>129</v>
      </c>
      <c r="J235" t="s">
        <v>24</v>
      </c>
      <c r="K235" t="s">
        <v>32</v>
      </c>
      <c r="L235" t="s">
        <v>130</v>
      </c>
      <c r="M235">
        <v>185.36849710982659</v>
      </c>
      <c r="N235">
        <v>10.262</v>
      </c>
    </row>
    <row r="236" spans="1:14" x14ac:dyDescent="0.3">
      <c r="A236">
        <v>7235</v>
      </c>
      <c r="B236">
        <v>1</v>
      </c>
      <c r="C236" s="1">
        <v>45607</v>
      </c>
      <c r="D236" t="s">
        <v>46</v>
      </c>
      <c r="E236">
        <v>361.86</v>
      </c>
      <c r="F236">
        <v>4</v>
      </c>
      <c r="G236">
        <v>0.15</v>
      </c>
      <c r="H236">
        <v>502.68</v>
      </c>
      <c r="I236" t="s">
        <v>56</v>
      </c>
      <c r="J236" t="s">
        <v>31</v>
      </c>
      <c r="K236" t="s">
        <v>32</v>
      </c>
      <c r="L236" t="s">
        <v>57</v>
      </c>
      <c r="M236">
        <v>138.9156027192837</v>
      </c>
      <c r="N236">
        <v>125.67</v>
      </c>
    </row>
    <row r="237" spans="1:14" x14ac:dyDescent="0.3">
      <c r="A237">
        <v>7236</v>
      </c>
      <c r="B237">
        <v>23</v>
      </c>
      <c r="C237" s="1">
        <v>45383</v>
      </c>
      <c r="D237" t="s">
        <v>29</v>
      </c>
      <c r="E237">
        <v>285.85000000000002</v>
      </c>
      <c r="F237">
        <v>1</v>
      </c>
      <c r="G237">
        <v>0.05</v>
      </c>
      <c r="H237">
        <v>63.25</v>
      </c>
      <c r="I237" t="s">
        <v>135</v>
      </c>
      <c r="J237" t="s">
        <v>64</v>
      </c>
      <c r="K237" t="s">
        <v>32</v>
      </c>
      <c r="L237" t="s">
        <v>136</v>
      </c>
      <c r="M237">
        <v>22.126989679902049</v>
      </c>
      <c r="N237">
        <v>63.25</v>
      </c>
    </row>
    <row r="238" spans="1:14" x14ac:dyDescent="0.3">
      <c r="A238">
        <v>7237</v>
      </c>
      <c r="B238">
        <v>7</v>
      </c>
      <c r="C238" s="1">
        <v>45400</v>
      </c>
      <c r="D238" t="s">
        <v>22</v>
      </c>
      <c r="E238">
        <v>14.97</v>
      </c>
      <c r="F238">
        <v>3</v>
      </c>
      <c r="G238">
        <v>0.05</v>
      </c>
      <c r="H238">
        <v>15.69</v>
      </c>
      <c r="I238" t="s">
        <v>118</v>
      </c>
      <c r="J238" t="s">
        <v>24</v>
      </c>
      <c r="K238" t="s">
        <v>17</v>
      </c>
      <c r="L238" t="s">
        <v>137</v>
      </c>
      <c r="M238">
        <v>104.8096192384769</v>
      </c>
      <c r="N238">
        <v>5.23</v>
      </c>
    </row>
    <row r="239" spans="1:14" x14ac:dyDescent="0.3">
      <c r="A239">
        <v>7238</v>
      </c>
      <c r="B239">
        <v>25</v>
      </c>
      <c r="C239" s="1">
        <v>45415</v>
      </c>
      <c r="D239" t="s">
        <v>43</v>
      </c>
      <c r="E239">
        <v>19.96</v>
      </c>
      <c r="F239">
        <v>2</v>
      </c>
      <c r="G239">
        <v>0.05</v>
      </c>
      <c r="H239">
        <v>12.9</v>
      </c>
      <c r="I239" t="s">
        <v>53</v>
      </c>
      <c r="J239" t="s">
        <v>54</v>
      </c>
      <c r="K239" t="s">
        <v>17</v>
      </c>
      <c r="L239" t="s">
        <v>55</v>
      </c>
      <c r="M239">
        <v>64.629258517034074</v>
      </c>
      <c r="N239">
        <v>6.45</v>
      </c>
    </row>
    <row r="240" spans="1:14" x14ac:dyDescent="0.3">
      <c r="A240">
        <v>7239</v>
      </c>
      <c r="B240">
        <v>57</v>
      </c>
      <c r="C240" s="1">
        <v>45447</v>
      </c>
      <c r="D240" t="s">
        <v>46</v>
      </c>
      <c r="E240">
        <v>84.53</v>
      </c>
      <c r="F240">
        <v>5</v>
      </c>
      <c r="G240">
        <v>0.1</v>
      </c>
      <c r="H240">
        <v>-42.54</v>
      </c>
      <c r="I240" t="s">
        <v>90</v>
      </c>
      <c r="J240" t="s">
        <v>54</v>
      </c>
      <c r="K240" t="s">
        <v>39</v>
      </c>
      <c r="L240" t="s">
        <v>91</v>
      </c>
      <c r="M240">
        <v>-50.325328285815687</v>
      </c>
      <c r="N240">
        <v>-8.5079999999999991</v>
      </c>
    </row>
    <row r="241" spans="1:14" x14ac:dyDescent="0.3">
      <c r="A241">
        <v>7240</v>
      </c>
      <c r="B241">
        <v>18</v>
      </c>
      <c r="C241" s="1">
        <v>45647</v>
      </c>
      <c r="D241" t="s">
        <v>46</v>
      </c>
      <c r="E241">
        <v>194.79</v>
      </c>
      <c r="F241">
        <v>3</v>
      </c>
      <c r="G241">
        <v>0.05</v>
      </c>
      <c r="H241">
        <v>95.46</v>
      </c>
      <c r="I241" t="s">
        <v>92</v>
      </c>
      <c r="J241" t="s">
        <v>20</v>
      </c>
      <c r="K241" t="s">
        <v>32</v>
      </c>
      <c r="L241" t="s">
        <v>93</v>
      </c>
      <c r="M241">
        <v>49.006622516556291</v>
      </c>
      <c r="N241">
        <v>31.82</v>
      </c>
    </row>
    <row r="242" spans="1:14" x14ac:dyDescent="0.3">
      <c r="A242">
        <v>7241</v>
      </c>
      <c r="B242">
        <v>62</v>
      </c>
      <c r="C242" s="1">
        <v>45464</v>
      </c>
      <c r="D242" t="s">
        <v>22</v>
      </c>
      <c r="E242">
        <v>110.65</v>
      </c>
      <c r="F242">
        <v>3</v>
      </c>
      <c r="G242">
        <v>0.05</v>
      </c>
      <c r="H242">
        <v>113.39</v>
      </c>
      <c r="I242" t="s">
        <v>72</v>
      </c>
      <c r="J242" t="s">
        <v>54</v>
      </c>
      <c r="K242" t="s">
        <v>39</v>
      </c>
      <c r="L242" t="s">
        <v>73</v>
      </c>
      <c r="M242">
        <v>102.4762765476728</v>
      </c>
      <c r="N242">
        <v>37.796666666666667</v>
      </c>
    </row>
    <row r="243" spans="1:14" x14ac:dyDescent="0.3">
      <c r="A243">
        <v>7242</v>
      </c>
      <c r="B243">
        <v>46</v>
      </c>
      <c r="C243" s="1">
        <v>45655</v>
      </c>
      <c r="D243" t="s">
        <v>26</v>
      </c>
      <c r="E243">
        <v>115.77</v>
      </c>
      <c r="F243">
        <v>5</v>
      </c>
      <c r="G243">
        <v>0</v>
      </c>
      <c r="H243">
        <v>156.61000000000001</v>
      </c>
      <c r="I243" t="s">
        <v>111</v>
      </c>
      <c r="J243" t="s">
        <v>20</v>
      </c>
      <c r="K243" t="s">
        <v>17</v>
      </c>
      <c r="L243" t="s">
        <v>112</v>
      </c>
      <c r="M243">
        <v>135.2768420143388</v>
      </c>
      <c r="N243">
        <v>31.321999999999999</v>
      </c>
    </row>
    <row r="244" spans="1:14" x14ac:dyDescent="0.3">
      <c r="A244">
        <v>7243</v>
      </c>
      <c r="B244">
        <v>52</v>
      </c>
      <c r="C244" s="1">
        <v>45314</v>
      </c>
      <c r="D244" t="s">
        <v>26</v>
      </c>
      <c r="E244">
        <v>121.07</v>
      </c>
      <c r="F244">
        <v>2</v>
      </c>
      <c r="G244">
        <v>0.15</v>
      </c>
      <c r="H244">
        <v>54.96</v>
      </c>
      <c r="I244" t="s">
        <v>109</v>
      </c>
      <c r="J244" t="s">
        <v>24</v>
      </c>
      <c r="K244" t="s">
        <v>17</v>
      </c>
      <c r="L244" t="s">
        <v>110</v>
      </c>
      <c r="M244">
        <v>45.395225902370527</v>
      </c>
      <c r="N244">
        <v>27.48</v>
      </c>
    </row>
    <row r="245" spans="1:14" x14ac:dyDescent="0.3">
      <c r="A245">
        <v>7244</v>
      </c>
      <c r="B245">
        <v>2</v>
      </c>
      <c r="C245" s="1">
        <v>45293</v>
      </c>
      <c r="D245" t="s">
        <v>29</v>
      </c>
      <c r="E245">
        <v>108.86</v>
      </c>
      <c r="F245">
        <v>1</v>
      </c>
      <c r="G245">
        <v>0.05</v>
      </c>
      <c r="H245">
        <v>28.9</v>
      </c>
      <c r="I245" t="s">
        <v>151</v>
      </c>
      <c r="J245" t="s">
        <v>20</v>
      </c>
      <c r="K245" t="s">
        <v>17</v>
      </c>
      <c r="L245" t="s">
        <v>152</v>
      </c>
      <c r="M245">
        <v>26.547859636230019</v>
      </c>
      <c r="N245">
        <v>28.9</v>
      </c>
    </row>
    <row r="246" spans="1:14" x14ac:dyDescent="0.3">
      <c r="A246">
        <v>7245</v>
      </c>
      <c r="B246">
        <v>43</v>
      </c>
      <c r="C246" s="1">
        <v>45512</v>
      </c>
      <c r="D246" t="s">
        <v>46</v>
      </c>
      <c r="E246">
        <v>308.42</v>
      </c>
      <c r="F246">
        <v>3</v>
      </c>
      <c r="G246">
        <v>0.1</v>
      </c>
      <c r="H246">
        <v>341.59</v>
      </c>
      <c r="I246" t="s">
        <v>66</v>
      </c>
      <c r="J246" t="s">
        <v>20</v>
      </c>
      <c r="K246" t="s">
        <v>39</v>
      </c>
      <c r="L246" t="s">
        <v>67</v>
      </c>
      <c r="M246">
        <v>110.7548148628493</v>
      </c>
      <c r="N246">
        <v>113.8633333333333</v>
      </c>
    </row>
    <row r="247" spans="1:14" x14ac:dyDescent="0.3">
      <c r="A247">
        <v>7246</v>
      </c>
      <c r="B247">
        <v>63</v>
      </c>
      <c r="C247" s="1">
        <v>45546</v>
      </c>
      <c r="D247" t="s">
        <v>46</v>
      </c>
      <c r="E247">
        <v>147.47999999999999</v>
      </c>
      <c r="F247">
        <v>7</v>
      </c>
      <c r="G247">
        <v>0.1</v>
      </c>
      <c r="H247">
        <v>248.55</v>
      </c>
      <c r="I247" t="s">
        <v>153</v>
      </c>
      <c r="J247" t="s">
        <v>31</v>
      </c>
      <c r="K247" t="s">
        <v>39</v>
      </c>
      <c r="L247" t="s">
        <v>154</v>
      </c>
      <c r="M247">
        <v>168.53132628152969</v>
      </c>
      <c r="N247">
        <v>35.50714285714286</v>
      </c>
    </row>
    <row r="248" spans="1:14" x14ac:dyDescent="0.3">
      <c r="A248">
        <v>7247</v>
      </c>
      <c r="B248">
        <v>37</v>
      </c>
      <c r="C248" s="1">
        <v>45306</v>
      </c>
      <c r="D248" t="s">
        <v>29</v>
      </c>
      <c r="E248">
        <v>117.04</v>
      </c>
      <c r="F248">
        <v>7</v>
      </c>
      <c r="G248">
        <v>0</v>
      </c>
      <c r="H248">
        <v>167.12</v>
      </c>
      <c r="I248" t="s">
        <v>80</v>
      </c>
      <c r="J248" t="s">
        <v>16</v>
      </c>
      <c r="K248" t="s">
        <v>17</v>
      </c>
      <c r="L248" t="s">
        <v>81</v>
      </c>
      <c r="M248">
        <v>142.7887901572112</v>
      </c>
      <c r="N248">
        <v>23.874285714285719</v>
      </c>
    </row>
    <row r="249" spans="1:14" x14ac:dyDescent="0.3">
      <c r="A249">
        <v>7248</v>
      </c>
      <c r="B249">
        <v>4</v>
      </c>
      <c r="C249" s="1">
        <v>45476</v>
      </c>
      <c r="D249" t="s">
        <v>26</v>
      </c>
      <c r="E249">
        <v>49.96</v>
      </c>
      <c r="F249">
        <v>2</v>
      </c>
      <c r="G249">
        <v>0.05</v>
      </c>
      <c r="H249">
        <v>28.43</v>
      </c>
      <c r="I249" t="s">
        <v>140</v>
      </c>
      <c r="J249" t="s">
        <v>20</v>
      </c>
      <c r="K249" t="s">
        <v>17</v>
      </c>
      <c r="L249" t="s">
        <v>141</v>
      </c>
      <c r="M249">
        <v>56.905524419535617</v>
      </c>
      <c r="N249">
        <v>14.215</v>
      </c>
    </row>
    <row r="250" spans="1:14" x14ac:dyDescent="0.3">
      <c r="A250">
        <v>7249</v>
      </c>
      <c r="B250">
        <v>48</v>
      </c>
      <c r="C250" s="1">
        <v>45485</v>
      </c>
      <c r="D250" t="s">
        <v>22</v>
      </c>
      <c r="E250">
        <v>104.43</v>
      </c>
      <c r="F250">
        <v>1</v>
      </c>
      <c r="G250">
        <v>0.1</v>
      </c>
      <c r="H250">
        <v>37.729999999999997</v>
      </c>
      <c r="I250" t="s">
        <v>86</v>
      </c>
      <c r="J250" t="s">
        <v>16</v>
      </c>
      <c r="K250" t="s">
        <v>39</v>
      </c>
      <c r="L250" t="s">
        <v>87</v>
      </c>
      <c r="M250">
        <v>36.12946471320501</v>
      </c>
      <c r="N250">
        <v>37.729999999999997</v>
      </c>
    </row>
    <row r="251" spans="1:14" x14ac:dyDescent="0.3">
      <c r="A251">
        <v>7250</v>
      </c>
      <c r="B251">
        <v>7</v>
      </c>
      <c r="C251" s="1">
        <v>45637</v>
      </c>
      <c r="D251" t="s">
        <v>43</v>
      </c>
      <c r="E251">
        <v>52.94</v>
      </c>
      <c r="F251">
        <v>4</v>
      </c>
      <c r="G251">
        <v>0.05</v>
      </c>
      <c r="H251">
        <v>67.900000000000006</v>
      </c>
      <c r="I251" t="s">
        <v>118</v>
      </c>
      <c r="J251" t="s">
        <v>24</v>
      </c>
      <c r="K251" t="s">
        <v>17</v>
      </c>
      <c r="L251" t="s">
        <v>137</v>
      </c>
      <c r="M251">
        <v>128.25840574234991</v>
      </c>
      <c r="N251">
        <v>16.975000000000001</v>
      </c>
    </row>
    <row r="252" spans="1:14" x14ac:dyDescent="0.3">
      <c r="A252">
        <v>7251</v>
      </c>
      <c r="B252">
        <v>29</v>
      </c>
      <c r="C252" s="1">
        <v>45359</v>
      </c>
      <c r="D252" t="s">
        <v>14</v>
      </c>
      <c r="E252">
        <v>282.13</v>
      </c>
      <c r="F252">
        <v>6</v>
      </c>
      <c r="G252">
        <v>0.15</v>
      </c>
      <c r="H252">
        <v>241.7</v>
      </c>
      <c r="I252" t="s">
        <v>61</v>
      </c>
      <c r="J252" t="s">
        <v>20</v>
      </c>
      <c r="K252" t="s">
        <v>39</v>
      </c>
      <c r="L252" t="s">
        <v>62</v>
      </c>
      <c r="M252">
        <v>85.669726721724032</v>
      </c>
      <c r="N252">
        <v>40.283333333333331</v>
      </c>
    </row>
    <row r="253" spans="1:14" x14ac:dyDescent="0.3">
      <c r="A253">
        <v>7252</v>
      </c>
      <c r="B253">
        <v>54</v>
      </c>
      <c r="C253" s="1">
        <v>45401</v>
      </c>
      <c r="D253" t="s">
        <v>43</v>
      </c>
      <c r="E253">
        <v>46.45</v>
      </c>
      <c r="F253">
        <v>5</v>
      </c>
      <c r="G253">
        <v>0.15</v>
      </c>
      <c r="H253">
        <v>87.57</v>
      </c>
      <c r="I253" t="s">
        <v>131</v>
      </c>
      <c r="J253" t="s">
        <v>24</v>
      </c>
      <c r="K253" t="s">
        <v>32</v>
      </c>
      <c r="L253" t="s">
        <v>132</v>
      </c>
      <c r="M253">
        <v>188.52529601722279</v>
      </c>
      <c r="N253">
        <v>17.513999999999999</v>
      </c>
    </row>
    <row r="254" spans="1:14" x14ac:dyDescent="0.3">
      <c r="A254">
        <v>7253</v>
      </c>
      <c r="B254">
        <v>48</v>
      </c>
      <c r="C254" s="1">
        <v>45595</v>
      </c>
      <c r="D254" t="s">
        <v>46</v>
      </c>
      <c r="E254">
        <v>387.21</v>
      </c>
      <c r="F254">
        <v>3</v>
      </c>
      <c r="G254">
        <v>0</v>
      </c>
      <c r="H254">
        <v>404.63</v>
      </c>
      <c r="I254" t="s">
        <v>86</v>
      </c>
      <c r="J254" t="s">
        <v>16</v>
      </c>
      <c r="K254" t="s">
        <v>39</v>
      </c>
      <c r="L254" t="s">
        <v>87</v>
      </c>
      <c r="M254">
        <v>104.4988507528215</v>
      </c>
      <c r="N254">
        <v>134.87666666666669</v>
      </c>
    </row>
    <row r="255" spans="1:14" x14ac:dyDescent="0.3">
      <c r="A255">
        <v>7254</v>
      </c>
      <c r="B255">
        <v>6</v>
      </c>
      <c r="C255" s="1">
        <v>45577</v>
      </c>
      <c r="D255" t="s">
        <v>22</v>
      </c>
      <c r="E255">
        <v>67.25</v>
      </c>
      <c r="F255">
        <v>7</v>
      </c>
      <c r="G255">
        <v>0.15</v>
      </c>
      <c r="H255">
        <v>128.71</v>
      </c>
      <c r="I255" t="s">
        <v>138</v>
      </c>
      <c r="J255" t="s">
        <v>20</v>
      </c>
      <c r="K255" t="s">
        <v>17</v>
      </c>
      <c r="L255" t="s">
        <v>139</v>
      </c>
      <c r="M255">
        <v>191.3903345724907</v>
      </c>
      <c r="N255">
        <v>18.387142857142859</v>
      </c>
    </row>
    <row r="256" spans="1:14" x14ac:dyDescent="0.3">
      <c r="A256">
        <v>7255</v>
      </c>
      <c r="B256">
        <v>15</v>
      </c>
      <c r="C256" s="1">
        <v>45505</v>
      </c>
      <c r="D256" t="s">
        <v>46</v>
      </c>
      <c r="E256">
        <v>174.98</v>
      </c>
      <c r="F256">
        <v>6</v>
      </c>
      <c r="G256">
        <v>0</v>
      </c>
      <c r="H256">
        <v>397.33</v>
      </c>
      <c r="I256" t="s">
        <v>113</v>
      </c>
      <c r="J256" t="s">
        <v>24</v>
      </c>
      <c r="K256" t="s">
        <v>17</v>
      </c>
      <c r="L256" t="s">
        <v>114</v>
      </c>
      <c r="M256">
        <v>227.0716653331809</v>
      </c>
      <c r="N256">
        <v>66.221666666666664</v>
      </c>
    </row>
    <row r="257" spans="1:14" x14ac:dyDescent="0.3">
      <c r="A257">
        <v>7256</v>
      </c>
      <c r="B257">
        <v>27</v>
      </c>
      <c r="C257" s="1">
        <v>45398</v>
      </c>
      <c r="D257" t="s">
        <v>29</v>
      </c>
      <c r="E257">
        <v>228.48</v>
      </c>
      <c r="F257">
        <v>2</v>
      </c>
      <c r="G257">
        <v>0</v>
      </c>
      <c r="H257">
        <v>-293.91000000000003</v>
      </c>
      <c r="I257" t="s">
        <v>126</v>
      </c>
      <c r="J257" t="s">
        <v>20</v>
      </c>
      <c r="K257" t="s">
        <v>64</v>
      </c>
      <c r="L257" t="s">
        <v>100</v>
      </c>
      <c r="M257">
        <v>-128.63707983193279</v>
      </c>
      <c r="N257">
        <v>-146.95500000000001</v>
      </c>
    </row>
    <row r="258" spans="1:14" x14ac:dyDescent="0.3">
      <c r="A258">
        <v>7257</v>
      </c>
      <c r="B258">
        <v>11</v>
      </c>
      <c r="C258" s="1">
        <v>45302</v>
      </c>
      <c r="D258" t="s">
        <v>46</v>
      </c>
      <c r="E258">
        <v>60.85</v>
      </c>
      <c r="F258">
        <v>4</v>
      </c>
      <c r="G258">
        <v>0</v>
      </c>
      <c r="H258">
        <v>96.56</v>
      </c>
      <c r="I258" t="s">
        <v>124</v>
      </c>
      <c r="J258" t="s">
        <v>20</v>
      </c>
      <c r="K258" t="s">
        <v>32</v>
      </c>
      <c r="L258" t="s">
        <v>125</v>
      </c>
      <c r="M258">
        <v>158.68529170090389</v>
      </c>
      <c r="N258">
        <v>24.14</v>
      </c>
    </row>
    <row r="259" spans="1:14" x14ac:dyDescent="0.3">
      <c r="A259">
        <v>7258</v>
      </c>
      <c r="B259">
        <v>16</v>
      </c>
      <c r="C259" s="1">
        <v>45438</v>
      </c>
      <c r="D259" t="s">
        <v>14</v>
      </c>
      <c r="E259">
        <v>866.31</v>
      </c>
      <c r="F259">
        <v>2</v>
      </c>
      <c r="G259">
        <v>0.05</v>
      </c>
      <c r="H259">
        <v>393.56</v>
      </c>
      <c r="I259" t="s">
        <v>157</v>
      </c>
      <c r="J259" t="s">
        <v>31</v>
      </c>
      <c r="K259" t="s">
        <v>32</v>
      </c>
      <c r="L259" t="s">
        <v>158</v>
      </c>
      <c r="M259">
        <v>45.429465202987387</v>
      </c>
      <c r="N259">
        <v>196.78</v>
      </c>
    </row>
    <row r="260" spans="1:14" x14ac:dyDescent="0.3">
      <c r="A260">
        <v>7259</v>
      </c>
      <c r="B260">
        <v>32</v>
      </c>
      <c r="C260" s="1">
        <v>45408</v>
      </c>
      <c r="D260" t="s">
        <v>26</v>
      </c>
      <c r="E260">
        <v>123.85</v>
      </c>
      <c r="F260">
        <v>3</v>
      </c>
      <c r="G260">
        <v>0</v>
      </c>
      <c r="H260">
        <v>108.16</v>
      </c>
      <c r="I260" t="s">
        <v>44</v>
      </c>
      <c r="J260" t="s">
        <v>24</v>
      </c>
      <c r="K260" t="s">
        <v>17</v>
      </c>
      <c r="L260" t="s">
        <v>45</v>
      </c>
      <c r="M260">
        <v>87.331449333871632</v>
      </c>
      <c r="N260">
        <v>36.053333333333327</v>
      </c>
    </row>
    <row r="261" spans="1:14" x14ac:dyDescent="0.3">
      <c r="A261">
        <v>7260</v>
      </c>
      <c r="B261">
        <v>40</v>
      </c>
      <c r="C261" s="1">
        <v>45530</v>
      </c>
      <c r="D261" t="s">
        <v>26</v>
      </c>
      <c r="E261">
        <v>98.12</v>
      </c>
      <c r="F261">
        <v>7</v>
      </c>
      <c r="G261">
        <v>0.1</v>
      </c>
      <c r="H261">
        <v>200.67</v>
      </c>
      <c r="I261" t="s">
        <v>122</v>
      </c>
      <c r="J261" t="s">
        <v>54</v>
      </c>
      <c r="K261" t="s">
        <v>32</v>
      </c>
      <c r="L261" t="s">
        <v>123</v>
      </c>
      <c r="M261">
        <v>204.51487973909491</v>
      </c>
      <c r="N261">
        <v>28.66714285714286</v>
      </c>
    </row>
    <row r="262" spans="1:14" x14ac:dyDescent="0.3">
      <c r="A262">
        <v>7261</v>
      </c>
      <c r="B262">
        <v>25</v>
      </c>
      <c r="C262" s="1">
        <v>45348</v>
      </c>
      <c r="D262" t="s">
        <v>46</v>
      </c>
      <c r="E262">
        <v>26.34</v>
      </c>
      <c r="F262">
        <v>7</v>
      </c>
      <c r="G262">
        <v>0.15</v>
      </c>
      <c r="H262">
        <v>70.260000000000005</v>
      </c>
      <c r="I262" t="s">
        <v>53</v>
      </c>
      <c r="J262" t="s">
        <v>54</v>
      </c>
      <c r="K262" t="s">
        <v>17</v>
      </c>
      <c r="L262" t="s">
        <v>55</v>
      </c>
      <c r="M262">
        <v>266.74259681093389</v>
      </c>
      <c r="N262">
        <v>10.037142857142859</v>
      </c>
    </row>
    <row r="263" spans="1:14" x14ac:dyDescent="0.3">
      <c r="A263">
        <v>7262</v>
      </c>
      <c r="B263">
        <v>22</v>
      </c>
      <c r="C263" s="1">
        <v>45533</v>
      </c>
      <c r="D263" t="s">
        <v>29</v>
      </c>
      <c r="E263">
        <v>108.14</v>
      </c>
      <c r="F263">
        <v>4</v>
      </c>
      <c r="G263">
        <v>0</v>
      </c>
      <c r="H263">
        <v>186.52</v>
      </c>
      <c r="I263" t="s">
        <v>149</v>
      </c>
      <c r="J263" t="s">
        <v>64</v>
      </c>
      <c r="K263" t="s">
        <v>17</v>
      </c>
      <c r="L263" t="s">
        <v>150</v>
      </c>
      <c r="M263">
        <v>172.48011836508229</v>
      </c>
      <c r="N263">
        <v>46.63</v>
      </c>
    </row>
    <row r="264" spans="1:14" x14ac:dyDescent="0.3">
      <c r="A264">
        <v>7263</v>
      </c>
      <c r="B264">
        <v>17</v>
      </c>
      <c r="C264" s="1">
        <v>45342</v>
      </c>
      <c r="D264" t="s">
        <v>26</v>
      </c>
      <c r="E264">
        <v>108.27</v>
      </c>
      <c r="F264">
        <v>2</v>
      </c>
      <c r="G264">
        <v>0.1</v>
      </c>
      <c r="H264">
        <v>-35.43</v>
      </c>
      <c r="I264" t="s">
        <v>68</v>
      </c>
      <c r="J264" t="s">
        <v>54</v>
      </c>
      <c r="K264" t="s">
        <v>17</v>
      </c>
      <c r="L264" t="s">
        <v>115</v>
      </c>
      <c r="M264">
        <v>-32.723746190080362</v>
      </c>
      <c r="N264">
        <v>-17.715</v>
      </c>
    </row>
    <row r="265" spans="1:14" x14ac:dyDescent="0.3">
      <c r="A265">
        <v>7264</v>
      </c>
      <c r="B265">
        <v>13</v>
      </c>
      <c r="C265" s="1">
        <v>45513</v>
      </c>
      <c r="D265" t="s">
        <v>22</v>
      </c>
      <c r="E265">
        <v>48.65</v>
      </c>
      <c r="F265">
        <v>1</v>
      </c>
      <c r="G265">
        <v>0.1</v>
      </c>
      <c r="H265">
        <v>9.2100000000000009</v>
      </c>
      <c r="I265" t="s">
        <v>147</v>
      </c>
      <c r="J265" t="s">
        <v>24</v>
      </c>
      <c r="K265" t="s">
        <v>17</v>
      </c>
      <c r="L265" t="s">
        <v>148</v>
      </c>
      <c r="M265">
        <v>18.9311408016444</v>
      </c>
      <c r="N265">
        <v>9.2100000000000009</v>
      </c>
    </row>
    <row r="266" spans="1:14" x14ac:dyDescent="0.3">
      <c r="A266">
        <v>7265</v>
      </c>
      <c r="B266">
        <v>12</v>
      </c>
      <c r="C266" s="1">
        <v>45355</v>
      </c>
      <c r="D266" t="s">
        <v>43</v>
      </c>
      <c r="E266">
        <v>24.09</v>
      </c>
      <c r="F266">
        <v>5</v>
      </c>
      <c r="G266">
        <v>0.1</v>
      </c>
      <c r="H266">
        <v>19.04</v>
      </c>
      <c r="I266" t="s">
        <v>78</v>
      </c>
      <c r="J266" t="s">
        <v>64</v>
      </c>
      <c r="K266" t="s">
        <v>17</v>
      </c>
      <c r="L266" t="s">
        <v>79</v>
      </c>
      <c r="M266">
        <v>79.036944790369446</v>
      </c>
      <c r="N266">
        <v>3.8079999999999998</v>
      </c>
    </row>
    <row r="267" spans="1:14" x14ac:dyDescent="0.3">
      <c r="A267">
        <v>7266</v>
      </c>
      <c r="B267">
        <v>56</v>
      </c>
      <c r="C267" s="1">
        <v>45470</v>
      </c>
      <c r="D267" t="s">
        <v>43</v>
      </c>
      <c r="E267">
        <v>13.91</v>
      </c>
      <c r="F267">
        <v>2</v>
      </c>
      <c r="G267">
        <v>0.1</v>
      </c>
      <c r="H267">
        <v>9.93</v>
      </c>
      <c r="I267" t="s">
        <v>159</v>
      </c>
      <c r="J267" t="s">
        <v>24</v>
      </c>
      <c r="K267" t="s">
        <v>17</v>
      </c>
      <c r="L267" t="s">
        <v>160</v>
      </c>
      <c r="M267">
        <v>71.387491013659229</v>
      </c>
      <c r="N267">
        <v>4.9649999999999999</v>
      </c>
    </row>
    <row r="268" spans="1:14" x14ac:dyDescent="0.3">
      <c r="A268">
        <v>7267</v>
      </c>
      <c r="B268">
        <v>15</v>
      </c>
      <c r="C268" s="1">
        <v>45625</v>
      </c>
      <c r="D268" t="s">
        <v>43</v>
      </c>
      <c r="E268">
        <v>20.43</v>
      </c>
      <c r="F268">
        <v>7</v>
      </c>
      <c r="G268">
        <v>0</v>
      </c>
      <c r="H268">
        <v>28.31</v>
      </c>
      <c r="I268" t="s">
        <v>113</v>
      </c>
      <c r="J268" t="s">
        <v>24</v>
      </c>
      <c r="K268" t="s">
        <v>17</v>
      </c>
      <c r="L268" t="s">
        <v>114</v>
      </c>
      <c r="M268">
        <v>138.57072931962799</v>
      </c>
      <c r="N268">
        <v>4.0442857142857136</v>
      </c>
    </row>
    <row r="269" spans="1:14" x14ac:dyDescent="0.3">
      <c r="A269">
        <v>7268</v>
      </c>
      <c r="B269">
        <v>6</v>
      </c>
      <c r="C269" s="1">
        <v>45634</v>
      </c>
      <c r="D269" t="s">
        <v>22</v>
      </c>
      <c r="E269">
        <v>69.489999999999995</v>
      </c>
      <c r="F269">
        <v>1</v>
      </c>
      <c r="G269">
        <v>0.05</v>
      </c>
      <c r="H269">
        <v>27.93</v>
      </c>
      <c r="I269" t="s">
        <v>138</v>
      </c>
      <c r="J269" t="s">
        <v>20</v>
      </c>
      <c r="K269" t="s">
        <v>17</v>
      </c>
      <c r="L269" t="s">
        <v>139</v>
      </c>
      <c r="M269">
        <v>40.192833501223213</v>
      </c>
      <c r="N269">
        <v>27.93</v>
      </c>
    </row>
    <row r="270" spans="1:14" x14ac:dyDescent="0.3">
      <c r="A270">
        <v>7269</v>
      </c>
      <c r="B270">
        <v>6</v>
      </c>
      <c r="C270" s="1">
        <v>45350</v>
      </c>
      <c r="D270" t="s">
        <v>22</v>
      </c>
      <c r="E270">
        <v>52.84</v>
      </c>
      <c r="F270">
        <v>6</v>
      </c>
      <c r="G270">
        <v>0</v>
      </c>
      <c r="H270">
        <v>119.89</v>
      </c>
      <c r="I270" t="s">
        <v>138</v>
      </c>
      <c r="J270" t="s">
        <v>20</v>
      </c>
      <c r="K270" t="s">
        <v>17</v>
      </c>
      <c r="L270" t="s">
        <v>139</v>
      </c>
      <c r="M270">
        <v>226.89250567751699</v>
      </c>
      <c r="N270">
        <v>19.981666666666669</v>
      </c>
    </row>
    <row r="271" spans="1:14" x14ac:dyDescent="0.3">
      <c r="A271">
        <v>7270</v>
      </c>
      <c r="B271">
        <v>34</v>
      </c>
      <c r="C271" s="1">
        <v>45478</v>
      </c>
      <c r="D271" t="s">
        <v>46</v>
      </c>
      <c r="E271">
        <v>216.23</v>
      </c>
      <c r="F271">
        <v>4</v>
      </c>
      <c r="G271">
        <v>0</v>
      </c>
      <c r="H271">
        <v>304.39999999999998</v>
      </c>
      <c r="I271" t="s">
        <v>107</v>
      </c>
      <c r="J271" t="s">
        <v>20</v>
      </c>
      <c r="K271" t="s">
        <v>39</v>
      </c>
      <c r="L271" t="s">
        <v>108</v>
      </c>
      <c r="M271">
        <v>140.7760255283726</v>
      </c>
      <c r="N271">
        <v>76.099999999999994</v>
      </c>
    </row>
    <row r="272" spans="1:14" x14ac:dyDescent="0.3">
      <c r="A272">
        <v>7271</v>
      </c>
      <c r="B272">
        <v>10</v>
      </c>
      <c r="C272" s="1">
        <v>45414</v>
      </c>
      <c r="D272" t="s">
        <v>14</v>
      </c>
      <c r="E272">
        <v>70.59</v>
      </c>
      <c r="F272">
        <v>6</v>
      </c>
      <c r="G272">
        <v>0.05</v>
      </c>
      <c r="H272">
        <v>73.33</v>
      </c>
      <c r="I272" t="s">
        <v>23</v>
      </c>
      <c r="J272" t="s">
        <v>24</v>
      </c>
      <c r="K272" t="s">
        <v>17</v>
      </c>
      <c r="L272" t="s">
        <v>25</v>
      </c>
      <c r="M272">
        <v>103.881569627426</v>
      </c>
      <c r="N272">
        <v>12.221666666666669</v>
      </c>
    </row>
    <row r="273" spans="1:14" x14ac:dyDescent="0.3">
      <c r="A273">
        <v>7272</v>
      </c>
      <c r="B273">
        <v>31</v>
      </c>
      <c r="C273" s="1">
        <v>45568</v>
      </c>
      <c r="D273" t="s">
        <v>46</v>
      </c>
      <c r="E273">
        <v>259.63</v>
      </c>
      <c r="F273">
        <v>3</v>
      </c>
      <c r="G273">
        <v>0.1</v>
      </c>
      <c r="H273">
        <v>183.79</v>
      </c>
      <c r="I273" t="s">
        <v>82</v>
      </c>
      <c r="J273" t="s">
        <v>54</v>
      </c>
      <c r="K273" t="s">
        <v>32</v>
      </c>
      <c r="L273" t="s">
        <v>83</v>
      </c>
      <c r="M273">
        <v>70.789200015406536</v>
      </c>
      <c r="N273">
        <v>61.263333333333328</v>
      </c>
    </row>
    <row r="274" spans="1:14" x14ac:dyDescent="0.3">
      <c r="A274">
        <v>7273</v>
      </c>
      <c r="B274">
        <v>5</v>
      </c>
      <c r="C274" s="1">
        <v>45604</v>
      </c>
      <c r="D274" t="s">
        <v>46</v>
      </c>
      <c r="E274">
        <v>248.96</v>
      </c>
      <c r="F274">
        <v>1</v>
      </c>
      <c r="G274">
        <v>0</v>
      </c>
      <c r="H274">
        <v>89.72</v>
      </c>
      <c r="I274" t="s">
        <v>105</v>
      </c>
      <c r="J274" t="s">
        <v>54</v>
      </c>
      <c r="K274" t="s">
        <v>17</v>
      </c>
      <c r="L274" t="s">
        <v>106</v>
      </c>
      <c r="M274">
        <v>36.037917737789201</v>
      </c>
      <c r="N274">
        <v>89.72</v>
      </c>
    </row>
    <row r="275" spans="1:14" x14ac:dyDescent="0.3">
      <c r="A275">
        <v>7274</v>
      </c>
      <c r="B275">
        <v>11</v>
      </c>
      <c r="C275" s="1">
        <v>45506</v>
      </c>
      <c r="D275" t="s">
        <v>14</v>
      </c>
      <c r="E275">
        <v>855.04</v>
      </c>
      <c r="F275">
        <v>3</v>
      </c>
      <c r="G275">
        <v>0</v>
      </c>
      <c r="H275">
        <v>1132.9100000000001</v>
      </c>
      <c r="I275" t="s">
        <v>124</v>
      </c>
      <c r="J275" t="s">
        <v>20</v>
      </c>
      <c r="K275" t="s">
        <v>32</v>
      </c>
      <c r="L275" t="s">
        <v>125</v>
      </c>
      <c r="M275">
        <v>132.49789483532939</v>
      </c>
      <c r="N275">
        <v>377.63666666666671</v>
      </c>
    </row>
    <row r="276" spans="1:14" x14ac:dyDescent="0.3">
      <c r="A276">
        <v>7275</v>
      </c>
      <c r="B276">
        <v>65</v>
      </c>
      <c r="C276" s="1">
        <v>45496</v>
      </c>
      <c r="D276" t="s">
        <v>22</v>
      </c>
      <c r="E276">
        <v>42.25</v>
      </c>
      <c r="F276">
        <v>1</v>
      </c>
      <c r="G276">
        <v>0.15</v>
      </c>
      <c r="H276">
        <v>5.47</v>
      </c>
      <c r="I276" t="s">
        <v>101</v>
      </c>
      <c r="J276" t="s">
        <v>54</v>
      </c>
      <c r="K276" t="s">
        <v>17</v>
      </c>
      <c r="L276" t="s">
        <v>102</v>
      </c>
      <c r="M276">
        <v>12.946745562130181</v>
      </c>
      <c r="N276">
        <v>5.47</v>
      </c>
    </row>
    <row r="277" spans="1:14" x14ac:dyDescent="0.3">
      <c r="A277">
        <v>7276</v>
      </c>
      <c r="B277">
        <v>65</v>
      </c>
      <c r="C277" s="1">
        <v>45390</v>
      </c>
      <c r="D277" t="s">
        <v>46</v>
      </c>
      <c r="E277">
        <v>55.71</v>
      </c>
      <c r="F277">
        <v>5</v>
      </c>
      <c r="G277">
        <v>0</v>
      </c>
      <c r="H277">
        <v>123.42</v>
      </c>
      <c r="I277" t="s">
        <v>101</v>
      </c>
      <c r="J277" t="s">
        <v>54</v>
      </c>
      <c r="K277" t="s">
        <v>17</v>
      </c>
      <c r="L277" t="s">
        <v>102</v>
      </c>
      <c r="M277">
        <v>221.54011847065161</v>
      </c>
      <c r="N277">
        <v>24.684000000000001</v>
      </c>
    </row>
    <row r="278" spans="1:14" x14ac:dyDescent="0.3">
      <c r="A278">
        <v>7277</v>
      </c>
      <c r="B278">
        <v>57</v>
      </c>
      <c r="C278" s="1">
        <v>45598</v>
      </c>
      <c r="D278" t="s">
        <v>26</v>
      </c>
      <c r="E278">
        <v>17.989999999999998</v>
      </c>
      <c r="F278">
        <v>1</v>
      </c>
      <c r="G278">
        <v>0</v>
      </c>
      <c r="H278">
        <v>2.72</v>
      </c>
      <c r="I278" t="s">
        <v>90</v>
      </c>
      <c r="J278" t="s">
        <v>54</v>
      </c>
      <c r="K278" t="s">
        <v>39</v>
      </c>
      <c r="L278" t="s">
        <v>91</v>
      </c>
      <c r="M278">
        <v>15.1195108393552</v>
      </c>
      <c r="N278">
        <v>2.72</v>
      </c>
    </row>
    <row r="279" spans="1:14" x14ac:dyDescent="0.3">
      <c r="A279">
        <v>7278</v>
      </c>
      <c r="B279">
        <v>35</v>
      </c>
      <c r="C279" s="1">
        <v>45554</v>
      </c>
      <c r="D279" t="s">
        <v>22</v>
      </c>
      <c r="E279">
        <v>10.94</v>
      </c>
      <c r="F279">
        <v>7</v>
      </c>
      <c r="G279">
        <v>0</v>
      </c>
      <c r="H279">
        <v>18.09</v>
      </c>
      <c r="I279" t="s">
        <v>127</v>
      </c>
      <c r="J279" t="s">
        <v>20</v>
      </c>
      <c r="K279" t="s">
        <v>32</v>
      </c>
      <c r="L279" t="s">
        <v>128</v>
      </c>
      <c r="M279">
        <v>165.3564899451554</v>
      </c>
      <c r="N279">
        <v>2.5842857142857141</v>
      </c>
    </row>
    <row r="280" spans="1:14" x14ac:dyDescent="0.3">
      <c r="A280">
        <v>7279</v>
      </c>
      <c r="B280">
        <v>47</v>
      </c>
      <c r="C280" s="1">
        <v>45579</v>
      </c>
      <c r="D280" t="s">
        <v>14</v>
      </c>
      <c r="E280">
        <v>1025.1600000000001</v>
      </c>
      <c r="F280">
        <v>2</v>
      </c>
      <c r="G280">
        <v>0.05</v>
      </c>
      <c r="H280">
        <v>83.04</v>
      </c>
      <c r="I280" t="s">
        <v>30</v>
      </c>
      <c r="J280" t="s">
        <v>31</v>
      </c>
      <c r="K280" t="s">
        <v>32</v>
      </c>
      <c r="L280" t="s">
        <v>33</v>
      </c>
      <c r="M280">
        <v>8.1001989933278704</v>
      </c>
      <c r="N280">
        <v>41.52</v>
      </c>
    </row>
    <row r="281" spans="1:14" x14ac:dyDescent="0.3">
      <c r="A281">
        <v>7280</v>
      </c>
      <c r="B281">
        <v>32</v>
      </c>
      <c r="C281" s="1">
        <v>45330</v>
      </c>
      <c r="D281" t="s">
        <v>46</v>
      </c>
      <c r="E281">
        <v>209.04</v>
      </c>
      <c r="F281">
        <v>3</v>
      </c>
      <c r="G281">
        <v>0.1</v>
      </c>
      <c r="H281">
        <v>94.76</v>
      </c>
      <c r="I281" t="s">
        <v>44</v>
      </c>
      <c r="J281" t="s">
        <v>24</v>
      </c>
      <c r="K281" t="s">
        <v>17</v>
      </c>
      <c r="L281" t="s">
        <v>45</v>
      </c>
      <c r="M281">
        <v>45.331037122081902</v>
      </c>
      <c r="N281">
        <v>31.58666666666667</v>
      </c>
    </row>
    <row r="282" spans="1:14" x14ac:dyDescent="0.3">
      <c r="A282">
        <v>7281</v>
      </c>
      <c r="B282">
        <v>40</v>
      </c>
      <c r="C282" s="1">
        <v>45631</v>
      </c>
      <c r="D282" t="s">
        <v>43</v>
      </c>
      <c r="E282">
        <v>52.98</v>
      </c>
      <c r="F282">
        <v>7</v>
      </c>
      <c r="G282">
        <v>0.1</v>
      </c>
      <c r="H282">
        <v>140.68</v>
      </c>
      <c r="I282" t="s">
        <v>122</v>
      </c>
      <c r="J282" t="s">
        <v>54</v>
      </c>
      <c r="K282" t="s">
        <v>32</v>
      </c>
      <c r="L282" t="s">
        <v>123</v>
      </c>
      <c r="M282">
        <v>265.53416383540957</v>
      </c>
      <c r="N282">
        <v>20.09714285714286</v>
      </c>
    </row>
    <row r="283" spans="1:14" x14ac:dyDescent="0.3">
      <c r="A283">
        <v>7282</v>
      </c>
      <c r="B283">
        <v>44</v>
      </c>
      <c r="C283" s="1">
        <v>45432</v>
      </c>
      <c r="D283" t="s">
        <v>14</v>
      </c>
      <c r="E283">
        <v>782.46</v>
      </c>
      <c r="F283">
        <v>1</v>
      </c>
      <c r="G283">
        <v>0.2</v>
      </c>
      <c r="H283">
        <v>219</v>
      </c>
      <c r="I283" t="s">
        <v>146</v>
      </c>
      <c r="J283" t="s">
        <v>24</v>
      </c>
      <c r="K283" t="s">
        <v>32</v>
      </c>
      <c r="L283" t="s">
        <v>141</v>
      </c>
      <c r="M283">
        <v>27.988651177056969</v>
      </c>
      <c r="N283">
        <v>219</v>
      </c>
    </row>
    <row r="284" spans="1:14" x14ac:dyDescent="0.3">
      <c r="A284">
        <v>7283</v>
      </c>
      <c r="B284">
        <v>61</v>
      </c>
      <c r="C284" s="1">
        <v>45501</v>
      </c>
      <c r="D284" t="s">
        <v>22</v>
      </c>
      <c r="E284">
        <v>52.7</v>
      </c>
      <c r="F284">
        <v>3</v>
      </c>
      <c r="G284">
        <v>0.1</v>
      </c>
      <c r="H284">
        <v>26.34</v>
      </c>
      <c r="I284" t="s">
        <v>129</v>
      </c>
      <c r="J284" t="s">
        <v>24</v>
      </c>
      <c r="K284" t="s">
        <v>32</v>
      </c>
      <c r="L284" t="s">
        <v>130</v>
      </c>
      <c r="M284">
        <v>49.981024667931678</v>
      </c>
      <c r="N284">
        <v>8.7799999999999994</v>
      </c>
    </row>
    <row r="285" spans="1:14" x14ac:dyDescent="0.3">
      <c r="A285">
        <v>7284</v>
      </c>
      <c r="B285">
        <v>59</v>
      </c>
      <c r="C285" s="1">
        <v>45596</v>
      </c>
      <c r="D285" t="s">
        <v>14</v>
      </c>
      <c r="E285">
        <v>715.18</v>
      </c>
      <c r="F285">
        <v>4</v>
      </c>
      <c r="G285">
        <v>0</v>
      </c>
      <c r="H285">
        <v>853.4</v>
      </c>
      <c r="I285" t="s">
        <v>59</v>
      </c>
      <c r="J285" t="s">
        <v>24</v>
      </c>
      <c r="K285" t="s">
        <v>17</v>
      </c>
      <c r="L285" t="s">
        <v>60</v>
      </c>
      <c r="M285">
        <v>119.3266030929277</v>
      </c>
      <c r="N285">
        <v>213.35</v>
      </c>
    </row>
    <row r="286" spans="1:14" x14ac:dyDescent="0.3">
      <c r="A286">
        <v>7285</v>
      </c>
      <c r="B286">
        <v>9</v>
      </c>
      <c r="C286" s="1">
        <v>45491</v>
      </c>
      <c r="D286" t="s">
        <v>29</v>
      </c>
      <c r="E286">
        <v>237.88</v>
      </c>
      <c r="F286">
        <v>1</v>
      </c>
      <c r="G286">
        <v>0.05</v>
      </c>
      <c r="H286">
        <v>62.5</v>
      </c>
      <c r="I286" t="s">
        <v>103</v>
      </c>
      <c r="J286" t="s">
        <v>24</v>
      </c>
      <c r="K286" t="s">
        <v>17</v>
      </c>
      <c r="L286" t="s">
        <v>104</v>
      </c>
      <c r="M286">
        <v>26.27375147133008</v>
      </c>
      <c r="N286">
        <v>62.5</v>
      </c>
    </row>
    <row r="287" spans="1:14" x14ac:dyDescent="0.3">
      <c r="A287">
        <v>7286</v>
      </c>
      <c r="B287">
        <v>1</v>
      </c>
      <c r="C287" s="1">
        <v>45575</v>
      </c>
      <c r="D287" t="s">
        <v>14</v>
      </c>
      <c r="E287">
        <v>189.97</v>
      </c>
      <c r="F287">
        <v>4</v>
      </c>
      <c r="G287">
        <v>0.1</v>
      </c>
      <c r="H287">
        <v>280.26</v>
      </c>
      <c r="I287" t="s">
        <v>56</v>
      </c>
      <c r="J287" t="s">
        <v>31</v>
      </c>
      <c r="K287" t="s">
        <v>32</v>
      </c>
      <c r="L287" t="s">
        <v>57</v>
      </c>
      <c r="M287">
        <v>147.52855714060109</v>
      </c>
      <c r="N287">
        <v>70.064999999999998</v>
      </c>
    </row>
    <row r="288" spans="1:14" x14ac:dyDescent="0.3">
      <c r="A288">
        <v>7287</v>
      </c>
      <c r="B288">
        <v>34</v>
      </c>
      <c r="C288" s="1">
        <v>45526</v>
      </c>
      <c r="D288" t="s">
        <v>46</v>
      </c>
      <c r="E288">
        <v>352.82</v>
      </c>
      <c r="F288">
        <v>7</v>
      </c>
      <c r="G288">
        <v>0</v>
      </c>
      <c r="H288">
        <v>376.6</v>
      </c>
      <c r="I288" t="s">
        <v>107</v>
      </c>
      <c r="J288" t="s">
        <v>20</v>
      </c>
      <c r="K288" t="s">
        <v>39</v>
      </c>
      <c r="L288" t="s">
        <v>108</v>
      </c>
      <c r="M288">
        <v>106.7399807267162</v>
      </c>
      <c r="N288">
        <v>53.8</v>
      </c>
    </row>
    <row r="289" spans="1:14" x14ac:dyDescent="0.3">
      <c r="A289">
        <v>7288</v>
      </c>
      <c r="B289">
        <v>22</v>
      </c>
      <c r="C289" s="1">
        <v>45624</v>
      </c>
      <c r="D289" t="s">
        <v>29</v>
      </c>
      <c r="E289">
        <v>150.72999999999999</v>
      </c>
      <c r="F289">
        <v>4</v>
      </c>
      <c r="G289">
        <v>0</v>
      </c>
      <c r="H289">
        <v>154.41</v>
      </c>
      <c r="I289" t="s">
        <v>149</v>
      </c>
      <c r="J289" t="s">
        <v>64</v>
      </c>
      <c r="K289" t="s">
        <v>17</v>
      </c>
      <c r="L289" t="s">
        <v>150</v>
      </c>
      <c r="M289">
        <v>102.4414516022026</v>
      </c>
      <c r="N289">
        <v>38.602499999999999</v>
      </c>
    </row>
    <row r="290" spans="1:14" x14ac:dyDescent="0.3">
      <c r="A290">
        <v>7289</v>
      </c>
      <c r="B290">
        <v>67</v>
      </c>
      <c r="C290" s="1">
        <v>45354</v>
      </c>
      <c r="D290" t="s">
        <v>14</v>
      </c>
      <c r="E290">
        <v>1078.93</v>
      </c>
      <c r="F290">
        <v>2</v>
      </c>
      <c r="G290">
        <v>0.1</v>
      </c>
      <c r="H290">
        <v>640.48</v>
      </c>
      <c r="I290" t="s">
        <v>99</v>
      </c>
      <c r="J290" t="s">
        <v>16</v>
      </c>
      <c r="K290" t="s">
        <v>39</v>
      </c>
      <c r="L290" t="s">
        <v>100</v>
      </c>
      <c r="M290">
        <v>59.36251656733986</v>
      </c>
      <c r="N290">
        <v>320.24</v>
      </c>
    </row>
    <row r="291" spans="1:14" x14ac:dyDescent="0.3">
      <c r="A291">
        <v>7290</v>
      </c>
      <c r="B291">
        <v>19</v>
      </c>
      <c r="C291" s="1">
        <v>45513</v>
      </c>
      <c r="D291" t="s">
        <v>46</v>
      </c>
      <c r="E291">
        <v>228.52</v>
      </c>
      <c r="F291">
        <v>5</v>
      </c>
      <c r="G291">
        <v>0.3</v>
      </c>
      <c r="H291">
        <v>154.08000000000001</v>
      </c>
      <c r="I291" t="s">
        <v>84</v>
      </c>
      <c r="J291" t="s">
        <v>16</v>
      </c>
      <c r="K291" t="s">
        <v>17</v>
      </c>
      <c r="L291" t="s">
        <v>85</v>
      </c>
      <c r="M291">
        <v>67.425170663399271</v>
      </c>
      <c r="N291">
        <v>30.815999999999999</v>
      </c>
    </row>
    <row r="292" spans="1:14" x14ac:dyDescent="0.3">
      <c r="A292">
        <v>7291</v>
      </c>
      <c r="B292">
        <v>48</v>
      </c>
      <c r="C292" s="1">
        <v>45564</v>
      </c>
      <c r="D292" t="s">
        <v>14</v>
      </c>
      <c r="E292">
        <v>297.72000000000003</v>
      </c>
      <c r="F292">
        <v>2</v>
      </c>
      <c r="G292">
        <v>0.05</v>
      </c>
      <c r="H292">
        <v>-376.61</v>
      </c>
      <c r="I292" t="s">
        <v>86</v>
      </c>
      <c r="J292" t="s">
        <v>16</v>
      </c>
      <c r="K292" t="s">
        <v>39</v>
      </c>
      <c r="L292" t="s">
        <v>87</v>
      </c>
      <c r="M292">
        <v>-126.4980518608088</v>
      </c>
      <c r="N292">
        <v>-188.30500000000001</v>
      </c>
    </row>
    <row r="293" spans="1:14" x14ac:dyDescent="0.3">
      <c r="A293">
        <v>7292</v>
      </c>
      <c r="B293">
        <v>57</v>
      </c>
      <c r="C293" s="1">
        <v>45516</v>
      </c>
      <c r="D293" t="s">
        <v>26</v>
      </c>
      <c r="E293">
        <v>132.63</v>
      </c>
      <c r="F293">
        <v>3</v>
      </c>
      <c r="G293">
        <v>0</v>
      </c>
      <c r="H293">
        <v>104.41</v>
      </c>
      <c r="I293" t="s">
        <v>90</v>
      </c>
      <c r="J293" t="s">
        <v>54</v>
      </c>
      <c r="K293" t="s">
        <v>39</v>
      </c>
      <c r="L293" t="s">
        <v>91</v>
      </c>
      <c r="M293">
        <v>78.722762572570304</v>
      </c>
      <c r="N293">
        <v>34.803333333333327</v>
      </c>
    </row>
    <row r="294" spans="1:14" x14ac:dyDescent="0.3">
      <c r="A294">
        <v>7293</v>
      </c>
      <c r="B294">
        <v>30</v>
      </c>
      <c r="C294" s="1">
        <v>45594</v>
      </c>
      <c r="D294" t="s">
        <v>22</v>
      </c>
      <c r="E294">
        <v>61.18</v>
      </c>
      <c r="F294">
        <v>1</v>
      </c>
      <c r="G294">
        <v>0.15</v>
      </c>
      <c r="H294">
        <v>23.06</v>
      </c>
      <c r="I294" t="s">
        <v>38</v>
      </c>
      <c r="J294" t="s">
        <v>24</v>
      </c>
      <c r="K294" t="s">
        <v>39</v>
      </c>
      <c r="L294" t="s">
        <v>40</v>
      </c>
      <c r="M294">
        <v>37.692056227525327</v>
      </c>
      <c r="N294">
        <v>23.06</v>
      </c>
    </row>
    <row r="295" spans="1:14" x14ac:dyDescent="0.3">
      <c r="A295">
        <v>7294</v>
      </c>
      <c r="B295">
        <v>44</v>
      </c>
      <c r="C295" s="1">
        <v>45619</v>
      </c>
      <c r="D295" t="s">
        <v>29</v>
      </c>
      <c r="E295">
        <v>244.49</v>
      </c>
      <c r="F295">
        <v>2</v>
      </c>
      <c r="G295">
        <v>0.05</v>
      </c>
      <c r="H295">
        <v>82.62</v>
      </c>
      <c r="I295" t="s">
        <v>146</v>
      </c>
      <c r="J295" t="s">
        <v>24</v>
      </c>
      <c r="K295" t="s">
        <v>32</v>
      </c>
      <c r="L295" t="s">
        <v>141</v>
      </c>
      <c r="M295">
        <v>33.792793161274503</v>
      </c>
      <c r="N295">
        <v>41.31</v>
      </c>
    </row>
    <row r="296" spans="1:14" x14ac:dyDescent="0.3">
      <c r="A296">
        <v>7295</v>
      </c>
      <c r="B296">
        <v>22</v>
      </c>
      <c r="C296" s="1">
        <v>45572</v>
      </c>
      <c r="D296" t="s">
        <v>14</v>
      </c>
      <c r="E296">
        <v>359.83</v>
      </c>
      <c r="F296">
        <v>1</v>
      </c>
      <c r="G296">
        <v>0</v>
      </c>
      <c r="H296">
        <v>151.77000000000001</v>
      </c>
      <c r="I296" t="s">
        <v>149</v>
      </c>
      <c r="J296" t="s">
        <v>64</v>
      </c>
      <c r="K296" t="s">
        <v>17</v>
      </c>
      <c r="L296" t="s">
        <v>150</v>
      </c>
      <c r="M296">
        <v>42.178250840674771</v>
      </c>
      <c r="N296">
        <v>151.77000000000001</v>
      </c>
    </row>
    <row r="297" spans="1:14" x14ac:dyDescent="0.3">
      <c r="A297">
        <v>7296</v>
      </c>
      <c r="B297">
        <v>66</v>
      </c>
      <c r="C297" s="1">
        <v>45547</v>
      </c>
      <c r="D297" t="s">
        <v>29</v>
      </c>
      <c r="E297">
        <v>52.14</v>
      </c>
      <c r="F297">
        <v>4</v>
      </c>
      <c r="G297">
        <v>0.15</v>
      </c>
      <c r="H297">
        <v>45.98</v>
      </c>
      <c r="I297" t="s">
        <v>74</v>
      </c>
      <c r="J297" t="s">
        <v>20</v>
      </c>
      <c r="K297" t="s">
        <v>32</v>
      </c>
      <c r="L297" t="s">
        <v>94</v>
      </c>
      <c r="M297">
        <v>88.185654008438803</v>
      </c>
      <c r="N297">
        <v>11.494999999999999</v>
      </c>
    </row>
    <row r="298" spans="1:14" x14ac:dyDescent="0.3">
      <c r="A298">
        <v>7297</v>
      </c>
      <c r="B298">
        <v>53</v>
      </c>
      <c r="C298" s="1">
        <v>45565</v>
      </c>
      <c r="D298" t="s">
        <v>29</v>
      </c>
      <c r="E298">
        <v>225.16</v>
      </c>
      <c r="F298">
        <v>1</v>
      </c>
      <c r="G298">
        <v>0.1</v>
      </c>
      <c r="H298">
        <v>53.7</v>
      </c>
      <c r="I298" t="s">
        <v>36</v>
      </c>
      <c r="J298" t="s">
        <v>20</v>
      </c>
      <c r="K298" t="s">
        <v>17</v>
      </c>
      <c r="L298" t="s">
        <v>37</v>
      </c>
      <c r="M298">
        <v>23.849706875111039</v>
      </c>
      <c r="N298">
        <v>53.7</v>
      </c>
    </row>
    <row r="299" spans="1:14" x14ac:dyDescent="0.3">
      <c r="A299">
        <v>7298</v>
      </c>
      <c r="B299">
        <v>6</v>
      </c>
      <c r="C299" s="1">
        <v>45543</v>
      </c>
      <c r="D299" t="s">
        <v>46</v>
      </c>
      <c r="E299">
        <v>301.25</v>
      </c>
      <c r="F299">
        <v>4</v>
      </c>
      <c r="G299">
        <v>0.05</v>
      </c>
      <c r="H299">
        <v>484.14</v>
      </c>
      <c r="I299" t="s">
        <v>138</v>
      </c>
      <c r="J299" t="s">
        <v>20</v>
      </c>
      <c r="K299" t="s">
        <v>17</v>
      </c>
      <c r="L299" t="s">
        <v>139</v>
      </c>
      <c r="M299">
        <v>160.7103734439834</v>
      </c>
      <c r="N299">
        <v>121.035</v>
      </c>
    </row>
    <row r="300" spans="1:14" x14ac:dyDescent="0.3">
      <c r="A300">
        <v>7299</v>
      </c>
      <c r="B300">
        <v>38</v>
      </c>
      <c r="C300" s="1">
        <v>45338</v>
      </c>
      <c r="D300" t="s">
        <v>14</v>
      </c>
      <c r="E300">
        <v>360.83</v>
      </c>
      <c r="F300">
        <v>3</v>
      </c>
      <c r="G300">
        <v>0</v>
      </c>
      <c r="H300">
        <v>483.35</v>
      </c>
      <c r="I300" t="s">
        <v>34</v>
      </c>
      <c r="J300" t="s">
        <v>16</v>
      </c>
      <c r="K300" t="s">
        <v>32</v>
      </c>
      <c r="L300" t="s">
        <v>35</v>
      </c>
      <c r="M300">
        <v>133.9550480835851</v>
      </c>
      <c r="N300">
        <v>161.1166666666667</v>
      </c>
    </row>
    <row r="301" spans="1:14" x14ac:dyDescent="0.3">
      <c r="A301">
        <v>7300</v>
      </c>
      <c r="B301">
        <v>55</v>
      </c>
      <c r="C301" s="1">
        <v>45471</v>
      </c>
      <c r="D301" t="s">
        <v>46</v>
      </c>
      <c r="E301">
        <v>17.16</v>
      </c>
      <c r="F301">
        <v>2</v>
      </c>
      <c r="G301">
        <v>0.05</v>
      </c>
      <c r="H301">
        <v>13.65</v>
      </c>
      <c r="I301" t="s">
        <v>133</v>
      </c>
      <c r="J301" t="s">
        <v>64</v>
      </c>
      <c r="K301" t="s">
        <v>64</v>
      </c>
      <c r="L301" t="s">
        <v>134</v>
      </c>
      <c r="M301">
        <v>79.545454545454547</v>
      </c>
      <c r="N301">
        <v>6.8250000000000002</v>
      </c>
    </row>
    <row r="302" spans="1:14" x14ac:dyDescent="0.3">
      <c r="A302">
        <v>7301</v>
      </c>
      <c r="B302">
        <v>34</v>
      </c>
      <c r="C302" s="1">
        <v>45392</v>
      </c>
      <c r="D302" t="s">
        <v>14</v>
      </c>
      <c r="E302">
        <v>679.44</v>
      </c>
      <c r="F302">
        <v>4</v>
      </c>
      <c r="G302">
        <v>0</v>
      </c>
      <c r="H302">
        <v>894.58</v>
      </c>
      <c r="I302" t="s">
        <v>107</v>
      </c>
      <c r="J302" t="s">
        <v>20</v>
      </c>
      <c r="K302" t="s">
        <v>39</v>
      </c>
      <c r="L302" t="s">
        <v>108</v>
      </c>
      <c r="M302">
        <v>131.66431178617691</v>
      </c>
      <c r="N302">
        <v>223.64500000000001</v>
      </c>
    </row>
    <row r="303" spans="1:14" x14ac:dyDescent="0.3">
      <c r="A303">
        <v>7302</v>
      </c>
      <c r="B303">
        <v>51</v>
      </c>
      <c r="C303" s="1">
        <v>45595</v>
      </c>
      <c r="D303" t="s">
        <v>14</v>
      </c>
      <c r="E303">
        <v>84.98</v>
      </c>
      <c r="F303">
        <v>2</v>
      </c>
      <c r="G303">
        <v>0.05</v>
      </c>
      <c r="H303">
        <v>36.619999999999997</v>
      </c>
      <c r="I303" t="s">
        <v>27</v>
      </c>
      <c r="J303" t="s">
        <v>16</v>
      </c>
      <c r="K303" t="s">
        <v>17</v>
      </c>
      <c r="L303" t="s">
        <v>28</v>
      </c>
      <c r="M303">
        <v>43.092492351141438</v>
      </c>
      <c r="N303">
        <v>18.309999999999999</v>
      </c>
    </row>
    <row r="304" spans="1:14" x14ac:dyDescent="0.3">
      <c r="A304">
        <v>7303</v>
      </c>
      <c r="B304">
        <v>34</v>
      </c>
      <c r="C304" s="1">
        <v>45581</v>
      </c>
      <c r="D304" t="s">
        <v>29</v>
      </c>
      <c r="E304">
        <v>116.01</v>
      </c>
      <c r="F304">
        <v>3</v>
      </c>
      <c r="G304">
        <v>0</v>
      </c>
      <c r="H304">
        <v>113.7</v>
      </c>
      <c r="I304" t="s">
        <v>107</v>
      </c>
      <c r="J304" t="s">
        <v>20</v>
      </c>
      <c r="K304" t="s">
        <v>39</v>
      </c>
      <c r="L304" t="s">
        <v>108</v>
      </c>
      <c r="M304">
        <v>98.008792345487464</v>
      </c>
      <c r="N304">
        <v>37.9</v>
      </c>
    </row>
    <row r="305" spans="1:14" x14ac:dyDescent="0.3">
      <c r="A305">
        <v>7304</v>
      </c>
      <c r="B305">
        <v>41</v>
      </c>
      <c r="C305" s="1">
        <v>45368</v>
      </c>
      <c r="D305" t="s">
        <v>14</v>
      </c>
      <c r="E305">
        <v>530.85</v>
      </c>
      <c r="F305">
        <v>1</v>
      </c>
      <c r="G305">
        <v>0.15</v>
      </c>
      <c r="H305">
        <v>129.94999999999999</v>
      </c>
      <c r="I305" t="s">
        <v>120</v>
      </c>
      <c r="J305" t="s">
        <v>16</v>
      </c>
      <c r="K305" t="s">
        <v>32</v>
      </c>
      <c r="L305" t="s">
        <v>121</v>
      </c>
      <c r="M305">
        <v>24.479608175567481</v>
      </c>
      <c r="N305">
        <v>129.94999999999999</v>
      </c>
    </row>
    <row r="306" spans="1:14" x14ac:dyDescent="0.3">
      <c r="A306">
        <v>7305</v>
      </c>
      <c r="B306">
        <v>37</v>
      </c>
      <c r="C306" s="1">
        <v>45378</v>
      </c>
      <c r="D306" t="s">
        <v>26</v>
      </c>
      <c r="E306">
        <v>138.62</v>
      </c>
      <c r="F306">
        <v>1</v>
      </c>
      <c r="G306">
        <v>0.05</v>
      </c>
      <c r="H306">
        <v>35.89</v>
      </c>
      <c r="I306" t="s">
        <v>80</v>
      </c>
      <c r="J306" t="s">
        <v>16</v>
      </c>
      <c r="K306" t="s">
        <v>17</v>
      </c>
      <c r="L306" t="s">
        <v>81</v>
      </c>
      <c r="M306">
        <v>25.8909248304718</v>
      </c>
      <c r="N306">
        <v>35.89</v>
      </c>
    </row>
    <row r="307" spans="1:14" x14ac:dyDescent="0.3">
      <c r="A307">
        <v>7306</v>
      </c>
      <c r="B307">
        <v>18</v>
      </c>
      <c r="C307" s="1">
        <v>45642</v>
      </c>
      <c r="D307" t="s">
        <v>29</v>
      </c>
      <c r="E307">
        <v>178.84</v>
      </c>
      <c r="F307">
        <v>2</v>
      </c>
      <c r="G307">
        <v>0.15</v>
      </c>
      <c r="H307">
        <v>74.78</v>
      </c>
      <c r="I307" t="s">
        <v>92</v>
      </c>
      <c r="J307" t="s">
        <v>20</v>
      </c>
      <c r="K307" t="s">
        <v>32</v>
      </c>
      <c r="L307" t="s">
        <v>93</v>
      </c>
      <c r="M307">
        <v>41.813911876537688</v>
      </c>
      <c r="N307">
        <v>37.39</v>
      </c>
    </row>
    <row r="308" spans="1:14" x14ac:dyDescent="0.3">
      <c r="A308">
        <v>7307</v>
      </c>
      <c r="B308">
        <v>36</v>
      </c>
      <c r="C308" s="1">
        <v>45554</v>
      </c>
      <c r="D308" t="s">
        <v>14</v>
      </c>
      <c r="E308">
        <v>938.26</v>
      </c>
      <c r="F308">
        <v>4</v>
      </c>
      <c r="G308">
        <v>0.05</v>
      </c>
      <c r="H308">
        <v>1466.82</v>
      </c>
      <c r="I308" t="s">
        <v>68</v>
      </c>
      <c r="J308" t="s">
        <v>20</v>
      </c>
      <c r="K308" t="s">
        <v>32</v>
      </c>
      <c r="L308" t="s">
        <v>69</v>
      </c>
      <c r="M308">
        <v>156.33406518449041</v>
      </c>
      <c r="N308">
        <v>366.70499999999998</v>
      </c>
    </row>
    <row r="309" spans="1:14" x14ac:dyDescent="0.3">
      <c r="A309">
        <v>7308</v>
      </c>
      <c r="B309">
        <v>17</v>
      </c>
      <c r="C309" s="1">
        <v>45509</v>
      </c>
      <c r="D309" t="s">
        <v>26</v>
      </c>
      <c r="E309">
        <v>116.73</v>
      </c>
      <c r="F309">
        <v>7</v>
      </c>
      <c r="G309">
        <v>0.15</v>
      </c>
      <c r="H309">
        <v>289.63</v>
      </c>
      <c r="I309" t="s">
        <v>68</v>
      </c>
      <c r="J309" t="s">
        <v>54</v>
      </c>
      <c r="K309" t="s">
        <v>17</v>
      </c>
      <c r="L309" t="s">
        <v>115</v>
      </c>
      <c r="M309">
        <v>248.11959222136551</v>
      </c>
      <c r="N309">
        <v>41.375714285714288</v>
      </c>
    </row>
    <row r="310" spans="1:14" x14ac:dyDescent="0.3">
      <c r="A310">
        <v>7309</v>
      </c>
      <c r="B310">
        <v>19</v>
      </c>
      <c r="C310" s="1">
        <v>45655</v>
      </c>
      <c r="D310" t="s">
        <v>26</v>
      </c>
      <c r="E310">
        <v>148.15</v>
      </c>
      <c r="F310">
        <v>1</v>
      </c>
      <c r="G310">
        <v>0.1</v>
      </c>
      <c r="H310">
        <v>47.57</v>
      </c>
      <c r="I310" t="s">
        <v>84</v>
      </c>
      <c r="J310" t="s">
        <v>16</v>
      </c>
      <c r="K310" t="s">
        <v>17</v>
      </c>
      <c r="L310" t="s">
        <v>85</v>
      </c>
      <c r="M310">
        <v>32.109348633142091</v>
      </c>
      <c r="N310">
        <v>47.57</v>
      </c>
    </row>
    <row r="311" spans="1:14" x14ac:dyDescent="0.3">
      <c r="A311">
        <v>7310</v>
      </c>
      <c r="B311">
        <v>17</v>
      </c>
      <c r="C311" s="1">
        <v>45309</v>
      </c>
      <c r="D311" t="s">
        <v>26</v>
      </c>
      <c r="E311">
        <v>85.77</v>
      </c>
      <c r="F311">
        <v>7</v>
      </c>
      <c r="G311">
        <v>0.1</v>
      </c>
      <c r="H311">
        <v>232.52</v>
      </c>
      <c r="I311" t="s">
        <v>68</v>
      </c>
      <c r="J311" t="s">
        <v>54</v>
      </c>
      <c r="K311" t="s">
        <v>17</v>
      </c>
      <c r="L311" t="s">
        <v>115</v>
      </c>
      <c r="M311">
        <v>271.09712020519999</v>
      </c>
      <c r="N311">
        <v>33.217142857142861</v>
      </c>
    </row>
    <row r="312" spans="1:14" x14ac:dyDescent="0.3">
      <c r="A312">
        <v>7311</v>
      </c>
      <c r="B312">
        <v>3</v>
      </c>
      <c r="C312" s="1">
        <v>45621</v>
      </c>
      <c r="D312" t="s">
        <v>26</v>
      </c>
      <c r="E312">
        <v>109.35</v>
      </c>
      <c r="F312">
        <v>6</v>
      </c>
      <c r="G312">
        <v>0.15</v>
      </c>
      <c r="H312">
        <v>225.85</v>
      </c>
      <c r="I312" t="s">
        <v>19</v>
      </c>
      <c r="J312" t="s">
        <v>20</v>
      </c>
      <c r="K312" t="s">
        <v>17</v>
      </c>
      <c r="L312" t="s">
        <v>21</v>
      </c>
      <c r="M312">
        <v>206.53863740283489</v>
      </c>
      <c r="N312">
        <v>37.641666666666673</v>
      </c>
    </row>
    <row r="313" spans="1:14" x14ac:dyDescent="0.3">
      <c r="A313">
        <v>7312</v>
      </c>
      <c r="B313">
        <v>22</v>
      </c>
      <c r="C313" s="1">
        <v>45616</v>
      </c>
      <c r="D313" t="s">
        <v>46</v>
      </c>
      <c r="E313">
        <v>77.94</v>
      </c>
      <c r="F313">
        <v>3</v>
      </c>
      <c r="G313">
        <v>0.2</v>
      </c>
      <c r="H313">
        <v>42.67</v>
      </c>
      <c r="I313" t="s">
        <v>149</v>
      </c>
      <c r="J313" t="s">
        <v>64</v>
      </c>
      <c r="K313" t="s">
        <v>17</v>
      </c>
      <c r="L313" t="s">
        <v>150</v>
      </c>
      <c r="M313">
        <v>54.747241467795753</v>
      </c>
      <c r="N313">
        <v>14.223333333333329</v>
      </c>
    </row>
    <row r="314" spans="1:14" x14ac:dyDescent="0.3">
      <c r="A314">
        <v>7313</v>
      </c>
      <c r="B314">
        <v>8</v>
      </c>
      <c r="C314" s="1">
        <v>45624</v>
      </c>
      <c r="D314" t="s">
        <v>14</v>
      </c>
      <c r="E314">
        <v>317.22000000000003</v>
      </c>
      <c r="F314">
        <v>2</v>
      </c>
      <c r="G314">
        <v>0.05</v>
      </c>
      <c r="H314">
        <v>153.84</v>
      </c>
      <c r="I314" t="s">
        <v>116</v>
      </c>
      <c r="J314" t="s">
        <v>31</v>
      </c>
      <c r="K314" t="s">
        <v>17</v>
      </c>
      <c r="L314" t="s">
        <v>117</v>
      </c>
      <c r="M314">
        <v>48.496311707962917</v>
      </c>
      <c r="N314">
        <v>76.92</v>
      </c>
    </row>
    <row r="315" spans="1:14" x14ac:dyDescent="0.3">
      <c r="A315">
        <v>7314</v>
      </c>
      <c r="B315">
        <v>19</v>
      </c>
      <c r="C315" s="1">
        <v>45637</v>
      </c>
      <c r="D315" t="s">
        <v>29</v>
      </c>
      <c r="E315">
        <v>57.7</v>
      </c>
      <c r="F315">
        <v>5</v>
      </c>
      <c r="G315">
        <v>0.05</v>
      </c>
      <c r="H315">
        <v>68.540000000000006</v>
      </c>
      <c r="I315" t="s">
        <v>84</v>
      </c>
      <c r="J315" t="s">
        <v>16</v>
      </c>
      <c r="K315" t="s">
        <v>17</v>
      </c>
      <c r="L315" t="s">
        <v>85</v>
      </c>
      <c r="M315">
        <v>118.78682842287699</v>
      </c>
      <c r="N315">
        <v>13.708</v>
      </c>
    </row>
    <row r="316" spans="1:14" x14ac:dyDescent="0.3">
      <c r="A316">
        <v>7315</v>
      </c>
      <c r="B316">
        <v>37</v>
      </c>
      <c r="C316" s="1">
        <v>45367</v>
      </c>
      <c r="D316" t="s">
        <v>46</v>
      </c>
      <c r="E316">
        <v>145.44</v>
      </c>
      <c r="F316">
        <v>1</v>
      </c>
      <c r="G316">
        <v>0.2</v>
      </c>
      <c r="H316">
        <v>31.67</v>
      </c>
      <c r="I316" t="s">
        <v>80</v>
      </c>
      <c r="J316" t="s">
        <v>16</v>
      </c>
      <c r="K316" t="s">
        <v>17</v>
      </c>
      <c r="L316" t="s">
        <v>81</v>
      </c>
      <c r="M316">
        <v>21.775302530253029</v>
      </c>
      <c r="N316">
        <v>31.67</v>
      </c>
    </row>
    <row r="317" spans="1:14" x14ac:dyDescent="0.3">
      <c r="A317">
        <v>7316</v>
      </c>
      <c r="B317">
        <v>68</v>
      </c>
      <c r="C317" s="1">
        <v>45588</v>
      </c>
      <c r="D317" t="s">
        <v>22</v>
      </c>
      <c r="E317">
        <v>95.71</v>
      </c>
      <c r="F317">
        <v>5</v>
      </c>
      <c r="G317">
        <v>0.15</v>
      </c>
      <c r="H317">
        <v>95.74</v>
      </c>
      <c r="I317" t="s">
        <v>74</v>
      </c>
      <c r="J317" t="s">
        <v>16</v>
      </c>
      <c r="K317" t="s">
        <v>17</v>
      </c>
      <c r="L317" t="s">
        <v>75</v>
      </c>
      <c r="M317">
        <v>100.0313446870755</v>
      </c>
      <c r="N317">
        <v>19.148</v>
      </c>
    </row>
    <row r="318" spans="1:14" x14ac:dyDescent="0.3">
      <c r="A318">
        <v>7317</v>
      </c>
      <c r="B318">
        <v>19</v>
      </c>
      <c r="C318" s="1">
        <v>45315</v>
      </c>
      <c r="D318" t="s">
        <v>43</v>
      </c>
      <c r="E318">
        <v>58.88</v>
      </c>
      <c r="F318">
        <v>4</v>
      </c>
      <c r="G318">
        <v>0</v>
      </c>
      <c r="H318">
        <v>77.72</v>
      </c>
      <c r="I318" t="s">
        <v>84</v>
      </c>
      <c r="J318" t="s">
        <v>16</v>
      </c>
      <c r="K318" t="s">
        <v>17</v>
      </c>
      <c r="L318" t="s">
        <v>85</v>
      </c>
      <c r="M318">
        <v>131.99728260869571</v>
      </c>
      <c r="N318">
        <v>19.43</v>
      </c>
    </row>
    <row r="319" spans="1:14" x14ac:dyDescent="0.3">
      <c r="A319">
        <v>7318</v>
      </c>
      <c r="B319">
        <v>62</v>
      </c>
      <c r="C319" s="1">
        <v>45449</v>
      </c>
      <c r="D319" t="s">
        <v>22</v>
      </c>
      <c r="E319">
        <v>68.709999999999994</v>
      </c>
      <c r="F319">
        <v>3</v>
      </c>
      <c r="G319">
        <v>0</v>
      </c>
      <c r="H319">
        <v>76.92</v>
      </c>
      <c r="I319" t="s">
        <v>72</v>
      </c>
      <c r="J319" t="s">
        <v>54</v>
      </c>
      <c r="K319" t="s">
        <v>39</v>
      </c>
      <c r="L319" t="s">
        <v>73</v>
      </c>
      <c r="M319">
        <v>111.9487701935672</v>
      </c>
      <c r="N319">
        <v>25.64</v>
      </c>
    </row>
    <row r="320" spans="1:14" x14ac:dyDescent="0.3">
      <c r="A320">
        <v>7319</v>
      </c>
      <c r="B320">
        <v>10</v>
      </c>
      <c r="C320" s="1">
        <v>45602</v>
      </c>
      <c r="D320" t="s">
        <v>14</v>
      </c>
      <c r="E320">
        <v>710.32</v>
      </c>
      <c r="F320">
        <v>3</v>
      </c>
      <c r="G320">
        <v>0.1</v>
      </c>
      <c r="H320">
        <v>438.04</v>
      </c>
      <c r="I320" t="s">
        <v>23</v>
      </c>
      <c r="J320" t="s">
        <v>24</v>
      </c>
      <c r="K320" t="s">
        <v>17</v>
      </c>
      <c r="L320" t="s">
        <v>25</v>
      </c>
      <c r="M320">
        <v>61.667980628449151</v>
      </c>
      <c r="N320">
        <v>146.01333333333329</v>
      </c>
    </row>
    <row r="321" spans="1:14" x14ac:dyDescent="0.3">
      <c r="A321">
        <v>7320</v>
      </c>
      <c r="B321">
        <v>1</v>
      </c>
      <c r="C321" s="1">
        <v>45545</v>
      </c>
      <c r="D321" t="s">
        <v>14</v>
      </c>
      <c r="E321">
        <v>104.56</v>
      </c>
      <c r="F321">
        <v>6</v>
      </c>
      <c r="G321">
        <v>0.1</v>
      </c>
      <c r="H321">
        <v>103.89</v>
      </c>
      <c r="I321" t="s">
        <v>56</v>
      </c>
      <c r="J321" t="s">
        <v>31</v>
      </c>
      <c r="K321" t="s">
        <v>32</v>
      </c>
      <c r="L321" t="s">
        <v>57</v>
      </c>
      <c r="M321">
        <v>99.359219586840084</v>
      </c>
      <c r="N321">
        <v>17.315000000000001</v>
      </c>
    </row>
    <row r="322" spans="1:14" x14ac:dyDescent="0.3">
      <c r="A322">
        <v>7321</v>
      </c>
      <c r="B322">
        <v>18</v>
      </c>
      <c r="C322" s="1">
        <v>45578</v>
      </c>
      <c r="D322" t="s">
        <v>14</v>
      </c>
      <c r="E322">
        <v>919.06</v>
      </c>
      <c r="F322">
        <v>7</v>
      </c>
      <c r="G322">
        <v>0.1</v>
      </c>
      <c r="H322">
        <v>-2428.77</v>
      </c>
      <c r="I322" t="s">
        <v>92</v>
      </c>
      <c r="J322" t="s">
        <v>20</v>
      </c>
      <c r="K322" t="s">
        <v>32</v>
      </c>
      <c r="L322" t="s">
        <v>93</v>
      </c>
      <c r="M322">
        <v>-264.26675081061092</v>
      </c>
      <c r="N322">
        <v>-346.96714285714279</v>
      </c>
    </row>
    <row r="323" spans="1:14" x14ac:dyDescent="0.3">
      <c r="A323">
        <v>7322</v>
      </c>
      <c r="B323">
        <v>64</v>
      </c>
      <c r="C323" s="1">
        <v>45552</v>
      </c>
      <c r="D323" t="s">
        <v>43</v>
      </c>
      <c r="E323">
        <v>56.88</v>
      </c>
      <c r="F323">
        <v>1</v>
      </c>
      <c r="G323">
        <v>0</v>
      </c>
      <c r="H323">
        <v>23.83</v>
      </c>
      <c r="I323" t="s">
        <v>51</v>
      </c>
      <c r="J323" t="s">
        <v>24</v>
      </c>
      <c r="K323" t="s">
        <v>32</v>
      </c>
      <c r="L323" t="s">
        <v>52</v>
      </c>
      <c r="M323">
        <v>41.895218002812932</v>
      </c>
      <c r="N323">
        <v>23.83</v>
      </c>
    </row>
    <row r="324" spans="1:14" x14ac:dyDescent="0.3">
      <c r="A324">
        <v>7323</v>
      </c>
      <c r="B324">
        <v>54</v>
      </c>
      <c r="C324" s="1">
        <v>45542</v>
      </c>
      <c r="D324" t="s">
        <v>22</v>
      </c>
      <c r="E324">
        <v>109.93</v>
      </c>
      <c r="F324">
        <v>7</v>
      </c>
      <c r="G324">
        <v>0</v>
      </c>
      <c r="H324">
        <v>168.94</v>
      </c>
      <c r="I324" t="s">
        <v>131</v>
      </c>
      <c r="J324" t="s">
        <v>24</v>
      </c>
      <c r="K324" t="s">
        <v>32</v>
      </c>
      <c r="L324" t="s">
        <v>132</v>
      </c>
      <c r="M324">
        <v>153.67961430000909</v>
      </c>
      <c r="N324">
        <v>24.13428571428571</v>
      </c>
    </row>
    <row r="325" spans="1:14" x14ac:dyDescent="0.3">
      <c r="A325">
        <v>7324</v>
      </c>
      <c r="B325">
        <v>65</v>
      </c>
      <c r="C325" s="1">
        <v>45370</v>
      </c>
      <c r="D325" t="s">
        <v>14</v>
      </c>
      <c r="E325">
        <v>75.12</v>
      </c>
      <c r="F325">
        <v>6</v>
      </c>
      <c r="G325">
        <v>0.15</v>
      </c>
      <c r="H325">
        <v>144.75</v>
      </c>
      <c r="I325" t="s">
        <v>101</v>
      </c>
      <c r="J325" t="s">
        <v>54</v>
      </c>
      <c r="K325" t="s">
        <v>17</v>
      </c>
      <c r="L325" t="s">
        <v>102</v>
      </c>
      <c r="M325">
        <v>192.6916932907348</v>
      </c>
      <c r="N325">
        <v>24.125</v>
      </c>
    </row>
    <row r="326" spans="1:14" x14ac:dyDescent="0.3">
      <c r="A326">
        <v>7325</v>
      </c>
      <c r="B326">
        <v>47</v>
      </c>
      <c r="C326" s="1">
        <v>45406</v>
      </c>
      <c r="D326" t="s">
        <v>43</v>
      </c>
      <c r="E326">
        <v>35.64</v>
      </c>
      <c r="F326">
        <v>3</v>
      </c>
      <c r="G326">
        <v>0</v>
      </c>
      <c r="H326">
        <v>27.95</v>
      </c>
      <c r="I326" t="s">
        <v>30</v>
      </c>
      <c r="J326" t="s">
        <v>31</v>
      </c>
      <c r="K326" t="s">
        <v>32</v>
      </c>
      <c r="L326" t="s">
        <v>33</v>
      </c>
      <c r="M326">
        <v>78.423120089786764</v>
      </c>
      <c r="N326">
        <v>9.3166666666666664</v>
      </c>
    </row>
    <row r="327" spans="1:14" x14ac:dyDescent="0.3">
      <c r="A327">
        <v>7326</v>
      </c>
      <c r="B327">
        <v>35</v>
      </c>
      <c r="C327" s="1">
        <v>45415</v>
      </c>
      <c r="D327" t="s">
        <v>29</v>
      </c>
      <c r="E327">
        <v>243.3</v>
      </c>
      <c r="F327">
        <v>3</v>
      </c>
      <c r="G327">
        <v>0.1</v>
      </c>
      <c r="H327">
        <v>194.49</v>
      </c>
      <c r="I327" t="s">
        <v>127</v>
      </c>
      <c r="J327" t="s">
        <v>20</v>
      </c>
      <c r="K327" t="s">
        <v>32</v>
      </c>
      <c r="L327" t="s">
        <v>128</v>
      </c>
      <c r="M327">
        <v>79.9383477188656</v>
      </c>
      <c r="N327">
        <v>64.83</v>
      </c>
    </row>
    <row r="328" spans="1:14" x14ac:dyDescent="0.3">
      <c r="A328">
        <v>7327</v>
      </c>
      <c r="B328">
        <v>2</v>
      </c>
      <c r="C328" s="1">
        <v>45315</v>
      </c>
      <c r="D328" t="s">
        <v>14</v>
      </c>
      <c r="E328">
        <v>1099.0899999999999</v>
      </c>
      <c r="F328">
        <v>1</v>
      </c>
      <c r="G328">
        <v>0.15</v>
      </c>
      <c r="H328">
        <v>325.58999999999997</v>
      </c>
      <c r="I328" t="s">
        <v>151</v>
      </c>
      <c r="J328" t="s">
        <v>20</v>
      </c>
      <c r="K328" t="s">
        <v>17</v>
      </c>
      <c r="L328" t="s">
        <v>152</v>
      </c>
      <c r="M328">
        <v>29.623597703554761</v>
      </c>
      <c r="N328">
        <v>325.58999999999997</v>
      </c>
    </row>
    <row r="329" spans="1:14" x14ac:dyDescent="0.3">
      <c r="A329">
        <v>7328</v>
      </c>
      <c r="B329">
        <v>29</v>
      </c>
      <c r="C329" s="1">
        <v>45386</v>
      </c>
      <c r="D329" t="s">
        <v>29</v>
      </c>
      <c r="E329">
        <v>88.24</v>
      </c>
      <c r="F329">
        <v>6</v>
      </c>
      <c r="G329">
        <v>0.1</v>
      </c>
      <c r="H329">
        <v>199.57</v>
      </c>
      <c r="I329" t="s">
        <v>61</v>
      </c>
      <c r="J329" t="s">
        <v>20</v>
      </c>
      <c r="K329" t="s">
        <v>39</v>
      </c>
      <c r="L329" t="s">
        <v>62</v>
      </c>
      <c r="M329">
        <v>226.16727107887581</v>
      </c>
      <c r="N329">
        <v>33.261666666666663</v>
      </c>
    </row>
    <row r="330" spans="1:14" x14ac:dyDescent="0.3">
      <c r="A330">
        <v>7329</v>
      </c>
      <c r="B330">
        <v>16</v>
      </c>
      <c r="C330" s="1">
        <v>45336</v>
      </c>
      <c r="D330" t="s">
        <v>26</v>
      </c>
      <c r="E330">
        <v>21.31</v>
      </c>
      <c r="F330">
        <v>6</v>
      </c>
      <c r="G330">
        <v>0.15</v>
      </c>
      <c r="H330">
        <v>44.13</v>
      </c>
      <c r="I330" t="s">
        <v>157</v>
      </c>
      <c r="J330" t="s">
        <v>31</v>
      </c>
      <c r="K330" t="s">
        <v>32</v>
      </c>
      <c r="L330" t="s">
        <v>158</v>
      </c>
      <c r="M330">
        <v>207.08587517597371</v>
      </c>
      <c r="N330">
        <v>7.3550000000000004</v>
      </c>
    </row>
    <row r="331" spans="1:14" x14ac:dyDescent="0.3">
      <c r="A331">
        <v>7330</v>
      </c>
      <c r="B331">
        <v>52</v>
      </c>
      <c r="C331" s="1">
        <v>45334</v>
      </c>
      <c r="D331" t="s">
        <v>29</v>
      </c>
      <c r="E331">
        <v>188.28</v>
      </c>
      <c r="F331">
        <v>1</v>
      </c>
      <c r="G331">
        <v>0.05</v>
      </c>
      <c r="H331">
        <v>71.45</v>
      </c>
      <c r="I331" t="s">
        <v>109</v>
      </c>
      <c r="J331" t="s">
        <v>24</v>
      </c>
      <c r="K331" t="s">
        <v>17</v>
      </c>
      <c r="L331" t="s">
        <v>110</v>
      </c>
      <c r="M331">
        <v>37.948799660080738</v>
      </c>
      <c r="N331">
        <v>71.45</v>
      </c>
    </row>
    <row r="332" spans="1:14" x14ac:dyDescent="0.3">
      <c r="A332">
        <v>7331</v>
      </c>
      <c r="B332">
        <v>67</v>
      </c>
      <c r="C332" s="1">
        <v>45502</v>
      </c>
      <c r="D332" t="s">
        <v>26</v>
      </c>
      <c r="E332">
        <v>67.319999999999993</v>
      </c>
      <c r="F332">
        <v>1</v>
      </c>
      <c r="G332">
        <v>0</v>
      </c>
      <c r="H332">
        <v>11.81</v>
      </c>
      <c r="I332" t="s">
        <v>99</v>
      </c>
      <c r="J332" t="s">
        <v>16</v>
      </c>
      <c r="K332" t="s">
        <v>39</v>
      </c>
      <c r="L332" t="s">
        <v>100</v>
      </c>
      <c r="M332">
        <v>17.54307783719549</v>
      </c>
      <c r="N332">
        <v>11.81</v>
      </c>
    </row>
    <row r="333" spans="1:14" x14ac:dyDescent="0.3">
      <c r="A333">
        <v>7332</v>
      </c>
      <c r="B333">
        <v>62</v>
      </c>
      <c r="C333" s="1">
        <v>45552</v>
      </c>
      <c r="D333" t="s">
        <v>46</v>
      </c>
      <c r="E333">
        <v>242.45</v>
      </c>
      <c r="F333">
        <v>2</v>
      </c>
      <c r="G333">
        <v>0</v>
      </c>
      <c r="H333">
        <v>120.46</v>
      </c>
      <c r="I333" t="s">
        <v>72</v>
      </c>
      <c r="J333" t="s">
        <v>54</v>
      </c>
      <c r="K333" t="s">
        <v>39</v>
      </c>
      <c r="L333" t="s">
        <v>73</v>
      </c>
      <c r="M333">
        <v>49.684471024953602</v>
      </c>
      <c r="N333">
        <v>60.23</v>
      </c>
    </row>
    <row r="334" spans="1:14" x14ac:dyDescent="0.3">
      <c r="A334">
        <v>7333</v>
      </c>
      <c r="B334">
        <v>4</v>
      </c>
      <c r="C334" s="1">
        <v>45533</v>
      </c>
      <c r="D334" t="s">
        <v>14</v>
      </c>
      <c r="E334">
        <v>697.72</v>
      </c>
      <c r="F334">
        <v>6</v>
      </c>
      <c r="G334">
        <v>0.05</v>
      </c>
      <c r="H334">
        <v>1701.6</v>
      </c>
      <c r="I334" t="s">
        <v>140</v>
      </c>
      <c r="J334" t="s">
        <v>20</v>
      </c>
      <c r="K334" t="s">
        <v>17</v>
      </c>
      <c r="L334" t="s">
        <v>141</v>
      </c>
      <c r="M334">
        <v>243.8800665023218</v>
      </c>
      <c r="N334">
        <v>283.60000000000002</v>
      </c>
    </row>
    <row r="335" spans="1:14" x14ac:dyDescent="0.3">
      <c r="A335">
        <v>7334</v>
      </c>
      <c r="B335">
        <v>32</v>
      </c>
      <c r="C335" s="1">
        <v>45366</v>
      </c>
      <c r="D335" t="s">
        <v>43</v>
      </c>
      <c r="E335">
        <v>53.29</v>
      </c>
      <c r="F335">
        <v>3</v>
      </c>
      <c r="G335">
        <v>0.2</v>
      </c>
      <c r="H335">
        <v>50.6</v>
      </c>
      <c r="I335" t="s">
        <v>44</v>
      </c>
      <c r="J335" t="s">
        <v>24</v>
      </c>
      <c r="K335" t="s">
        <v>17</v>
      </c>
      <c r="L335" t="s">
        <v>45</v>
      </c>
      <c r="M335">
        <v>94.952148620754357</v>
      </c>
      <c r="N335">
        <v>16.866666666666671</v>
      </c>
    </row>
    <row r="336" spans="1:14" x14ac:dyDescent="0.3">
      <c r="A336">
        <v>7335</v>
      </c>
      <c r="B336">
        <v>50</v>
      </c>
      <c r="C336" s="1">
        <v>45640</v>
      </c>
      <c r="D336" t="s">
        <v>14</v>
      </c>
      <c r="E336">
        <v>972.92</v>
      </c>
      <c r="F336">
        <v>1</v>
      </c>
      <c r="G336">
        <v>0.1</v>
      </c>
      <c r="H336">
        <v>-221.95</v>
      </c>
      <c r="I336" t="s">
        <v>118</v>
      </c>
      <c r="J336" t="s">
        <v>16</v>
      </c>
      <c r="K336" t="s">
        <v>17</v>
      </c>
      <c r="L336" t="s">
        <v>119</v>
      </c>
      <c r="M336">
        <v>-22.812769806356119</v>
      </c>
      <c r="N336">
        <v>-221.95</v>
      </c>
    </row>
    <row r="337" spans="1:14" x14ac:dyDescent="0.3">
      <c r="A337">
        <v>7336</v>
      </c>
      <c r="B337">
        <v>15</v>
      </c>
      <c r="C337" s="1">
        <v>45393</v>
      </c>
      <c r="D337" t="s">
        <v>46</v>
      </c>
      <c r="E337">
        <v>175.9</v>
      </c>
      <c r="F337">
        <v>3</v>
      </c>
      <c r="G337">
        <v>0.1</v>
      </c>
      <c r="H337">
        <v>182.53</v>
      </c>
      <c r="I337" t="s">
        <v>113</v>
      </c>
      <c r="J337" t="s">
        <v>24</v>
      </c>
      <c r="K337" t="s">
        <v>17</v>
      </c>
      <c r="L337" t="s">
        <v>114</v>
      </c>
      <c r="M337">
        <v>103.7691870380898</v>
      </c>
      <c r="N337">
        <v>60.843333333333327</v>
      </c>
    </row>
    <row r="338" spans="1:14" x14ac:dyDescent="0.3">
      <c r="A338">
        <v>7337</v>
      </c>
      <c r="B338">
        <v>44</v>
      </c>
      <c r="C338" s="1">
        <v>45496</v>
      </c>
      <c r="D338" t="s">
        <v>22</v>
      </c>
      <c r="E338">
        <v>56.76</v>
      </c>
      <c r="F338">
        <v>4</v>
      </c>
      <c r="G338">
        <v>0</v>
      </c>
      <c r="H338">
        <v>70.19</v>
      </c>
      <c r="I338" t="s">
        <v>146</v>
      </c>
      <c r="J338" t="s">
        <v>24</v>
      </c>
      <c r="K338" t="s">
        <v>32</v>
      </c>
      <c r="L338" t="s">
        <v>141</v>
      </c>
      <c r="M338">
        <v>123.661028893587</v>
      </c>
      <c r="N338">
        <v>17.547499999999999</v>
      </c>
    </row>
    <row r="339" spans="1:14" x14ac:dyDescent="0.3">
      <c r="A339">
        <v>7338</v>
      </c>
      <c r="B339">
        <v>44</v>
      </c>
      <c r="C339" s="1">
        <v>45333</v>
      </c>
      <c r="D339" t="s">
        <v>26</v>
      </c>
      <c r="E339">
        <v>93.26</v>
      </c>
      <c r="F339">
        <v>6</v>
      </c>
      <c r="G339">
        <v>0.1</v>
      </c>
      <c r="H339">
        <v>109.42</v>
      </c>
      <c r="I339" t="s">
        <v>146</v>
      </c>
      <c r="J339" t="s">
        <v>24</v>
      </c>
      <c r="K339" t="s">
        <v>32</v>
      </c>
      <c r="L339" t="s">
        <v>141</v>
      </c>
      <c r="M339">
        <v>117.3279004932447</v>
      </c>
      <c r="N339">
        <v>18.236666666666672</v>
      </c>
    </row>
    <row r="340" spans="1:14" x14ac:dyDescent="0.3">
      <c r="A340">
        <v>7339</v>
      </c>
      <c r="B340">
        <v>10</v>
      </c>
      <c r="C340" s="1">
        <v>45385</v>
      </c>
      <c r="D340" t="s">
        <v>26</v>
      </c>
      <c r="E340">
        <v>20.36</v>
      </c>
      <c r="F340">
        <v>4</v>
      </c>
      <c r="G340">
        <v>0</v>
      </c>
      <c r="H340">
        <v>-46.33</v>
      </c>
      <c r="I340" t="s">
        <v>23</v>
      </c>
      <c r="J340" t="s">
        <v>24</v>
      </c>
      <c r="K340" t="s">
        <v>17</v>
      </c>
      <c r="L340" t="s">
        <v>25</v>
      </c>
      <c r="M340">
        <v>-227.5540275049116</v>
      </c>
      <c r="N340">
        <v>-11.5825</v>
      </c>
    </row>
    <row r="341" spans="1:14" x14ac:dyDescent="0.3">
      <c r="A341">
        <v>7340</v>
      </c>
      <c r="B341">
        <v>12</v>
      </c>
      <c r="C341" s="1">
        <v>45338</v>
      </c>
      <c r="D341" t="s">
        <v>22</v>
      </c>
      <c r="E341">
        <v>102.67</v>
      </c>
      <c r="F341">
        <v>6</v>
      </c>
      <c r="G341">
        <v>0.05</v>
      </c>
      <c r="H341">
        <v>108.89</v>
      </c>
      <c r="I341" t="s">
        <v>78</v>
      </c>
      <c r="J341" t="s">
        <v>64</v>
      </c>
      <c r="K341" t="s">
        <v>17</v>
      </c>
      <c r="L341" t="s">
        <v>79</v>
      </c>
      <c r="M341">
        <v>106.05824486217981</v>
      </c>
      <c r="N341">
        <v>18.14833333333333</v>
      </c>
    </row>
    <row r="342" spans="1:14" x14ac:dyDescent="0.3">
      <c r="A342">
        <v>7341</v>
      </c>
      <c r="B342">
        <v>18</v>
      </c>
      <c r="C342" s="1">
        <v>45402</v>
      </c>
      <c r="D342" t="s">
        <v>43</v>
      </c>
      <c r="E342">
        <v>43.78</v>
      </c>
      <c r="F342">
        <v>6</v>
      </c>
      <c r="G342">
        <v>0.15</v>
      </c>
      <c r="H342">
        <v>98.4</v>
      </c>
      <c r="I342" t="s">
        <v>92</v>
      </c>
      <c r="J342" t="s">
        <v>20</v>
      </c>
      <c r="K342" t="s">
        <v>32</v>
      </c>
      <c r="L342" t="s">
        <v>93</v>
      </c>
      <c r="M342">
        <v>224.7601644586569</v>
      </c>
      <c r="N342">
        <v>16.399999999999999</v>
      </c>
    </row>
    <row r="343" spans="1:14" x14ac:dyDescent="0.3">
      <c r="A343">
        <v>7342</v>
      </c>
      <c r="B343">
        <v>52</v>
      </c>
      <c r="C343" s="1">
        <v>45354</v>
      </c>
      <c r="D343" t="s">
        <v>29</v>
      </c>
      <c r="E343">
        <v>22.72</v>
      </c>
      <c r="F343">
        <v>6</v>
      </c>
      <c r="G343">
        <v>0</v>
      </c>
      <c r="H343">
        <v>49.47</v>
      </c>
      <c r="I343" t="s">
        <v>109</v>
      </c>
      <c r="J343" t="s">
        <v>24</v>
      </c>
      <c r="K343" t="s">
        <v>17</v>
      </c>
      <c r="L343" t="s">
        <v>110</v>
      </c>
      <c r="M343">
        <v>217.73767605633799</v>
      </c>
      <c r="N343">
        <v>8.2449999999999992</v>
      </c>
    </row>
    <row r="344" spans="1:14" x14ac:dyDescent="0.3">
      <c r="A344">
        <v>7343</v>
      </c>
      <c r="B344">
        <v>40</v>
      </c>
      <c r="C344" s="1">
        <v>45448</v>
      </c>
      <c r="D344" t="s">
        <v>26</v>
      </c>
      <c r="E344">
        <v>148.94999999999999</v>
      </c>
      <c r="F344">
        <v>7</v>
      </c>
      <c r="G344">
        <v>0.1</v>
      </c>
      <c r="H344">
        <v>246.7</v>
      </c>
      <c r="I344" t="s">
        <v>122</v>
      </c>
      <c r="J344" t="s">
        <v>54</v>
      </c>
      <c r="K344" t="s">
        <v>32</v>
      </c>
      <c r="L344" t="s">
        <v>123</v>
      </c>
      <c r="M344">
        <v>165.6260490097348</v>
      </c>
      <c r="N344">
        <v>35.24285714285714</v>
      </c>
    </row>
    <row r="345" spans="1:14" x14ac:dyDescent="0.3">
      <c r="A345">
        <v>7344</v>
      </c>
      <c r="B345">
        <v>43</v>
      </c>
      <c r="C345" s="1">
        <v>45478</v>
      </c>
      <c r="D345" t="s">
        <v>26</v>
      </c>
      <c r="E345">
        <v>49.24</v>
      </c>
      <c r="F345">
        <v>3</v>
      </c>
      <c r="G345">
        <v>0.2</v>
      </c>
      <c r="H345">
        <v>30.33</v>
      </c>
      <c r="I345" t="s">
        <v>66</v>
      </c>
      <c r="J345" t="s">
        <v>20</v>
      </c>
      <c r="K345" t="s">
        <v>39</v>
      </c>
      <c r="L345" t="s">
        <v>67</v>
      </c>
      <c r="M345">
        <v>61.596263200649872</v>
      </c>
      <c r="N345">
        <v>10.11</v>
      </c>
    </row>
    <row r="346" spans="1:14" x14ac:dyDescent="0.3">
      <c r="A346">
        <v>7345</v>
      </c>
      <c r="B346">
        <v>47</v>
      </c>
      <c r="C346" s="1">
        <v>45580</v>
      </c>
      <c r="D346" t="s">
        <v>29</v>
      </c>
      <c r="E346">
        <v>90.19</v>
      </c>
      <c r="F346">
        <v>6</v>
      </c>
      <c r="G346">
        <v>0.1</v>
      </c>
      <c r="H346">
        <v>177.38</v>
      </c>
      <c r="I346" t="s">
        <v>30</v>
      </c>
      <c r="J346" t="s">
        <v>31</v>
      </c>
      <c r="K346" t="s">
        <v>32</v>
      </c>
      <c r="L346" t="s">
        <v>33</v>
      </c>
      <c r="M346">
        <v>196.67368887903319</v>
      </c>
      <c r="N346">
        <v>29.563333333333329</v>
      </c>
    </row>
    <row r="347" spans="1:14" x14ac:dyDescent="0.3">
      <c r="A347">
        <v>7346</v>
      </c>
      <c r="B347">
        <v>64</v>
      </c>
      <c r="C347" s="1">
        <v>45613</v>
      </c>
      <c r="D347" t="s">
        <v>26</v>
      </c>
      <c r="E347">
        <v>92.11</v>
      </c>
      <c r="F347">
        <v>4</v>
      </c>
      <c r="G347">
        <v>0</v>
      </c>
      <c r="H347">
        <v>89.91</v>
      </c>
      <c r="I347" t="s">
        <v>51</v>
      </c>
      <c r="J347" t="s">
        <v>24</v>
      </c>
      <c r="K347" t="s">
        <v>32</v>
      </c>
      <c r="L347" t="s">
        <v>52</v>
      </c>
      <c r="M347">
        <v>97.611551405927685</v>
      </c>
      <c r="N347">
        <v>22.477499999999999</v>
      </c>
    </row>
    <row r="348" spans="1:14" x14ac:dyDescent="0.3">
      <c r="A348">
        <v>7347</v>
      </c>
      <c r="B348">
        <v>21</v>
      </c>
      <c r="C348" s="1">
        <v>45491</v>
      </c>
      <c r="D348" t="s">
        <v>22</v>
      </c>
      <c r="E348">
        <v>77.69</v>
      </c>
      <c r="F348">
        <v>5</v>
      </c>
      <c r="G348">
        <v>0.05</v>
      </c>
      <c r="H348">
        <v>94.5</v>
      </c>
      <c r="I348" t="s">
        <v>97</v>
      </c>
      <c r="J348" t="s">
        <v>54</v>
      </c>
      <c r="K348" t="s">
        <v>17</v>
      </c>
      <c r="L348" t="s">
        <v>98</v>
      </c>
      <c r="M348">
        <v>121.63727635474319</v>
      </c>
      <c r="N348">
        <v>18.899999999999999</v>
      </c>
    </row>
    <row r="349" spans="1:14" x14ac:dyDescent="0.3">
      <c r="A349">
        <v>7348</v>
      </c>
      <c r="B349">
        <v>10</v>
      </c>
      <c r="C349" s="1">
        <v>45611</v>
      </c>
      <c r="D349" t="s">
        <v>14</v>
      </c>
      <c r="E349">
        <v>1055.1099999999999</v>
      </c>
      <c r="F349">
        <v>6</v>
      </c>
      <c r="G349">
        <v>0</v>
      </c>
      <c r="H349">
        <v>2021.53</v>
      </c>
      <c r="I349" t="s">
        <v>23</v>
      </c>
      <c r="J349" t="s">
        <v>24</v>
      </c>
      <c r="K349" t="s">
        <v>17</v>
      </c>
      <c r="L349" t="s">
        <v>25</v>
      </c>
      <c r="M349">
        <v>191.59424135872089</v>
      </c>
      <c r="N349">
        <v>336.92166666666668</v>
      </c>
    </row>
    <row r="350" spans="1:14" x14ac:dyDescent="0.3">
      <c r="A350">
        <v>7349</v>
      </c>
      <c r="B350">
        <v>5</v>
      </c>
      <c r="C350" s="1">
        <v>45473</v>
      </c>
      <c r="D350" t="s">
        <v>26</v>
      </c>
      <c r="E350">
        <v>87.09</v>
      </c>
      <c r="F350">
        <v>7</v>
      </c>
      <c r="G350">
        <v>0.05</v>
      </c>
      <c r="H350">
        <v>141.71</v>
      </c>
      <c r="I350" t="s">
        <v>105</v>
      </c>
      <c r="J350" t="s">
        <v>54</v>
      </c>
      <c r="K350" t="s">
        <v>17</v>
      </c>
      <c r="L350" t="s">
        <v>106</v>
      </c>
      <c r="M350">
        <v>162.71672981972671</v>
      </c>
      <c r="N350">
        <v>20.24428571428572</v>
      </c>
    </row>
    <row r="351" spans="1:14" x14ac:dyDescent="0.3">
      <c r="A351">
        <v>7350</v>
      </c>
      <c r="B351">
        <v>3</v>
      </c>
      <c r="C351" s="1">
        <v>45335</v>
      </c>
      <c r="D351" t="s">
        <v>22</v>
      </c>
      <c r="E351">
        <v>49.03</v>
      </c>
      <c r="F351">
        <v>2</v>
      </c>
      <c r="G351">
        <v>0</v>
      </c>
      <c r="H351">
        <v>26.31</v>
      </c>
      <c r="I351" t="s">
        <v>19</v>
      </c>
      <c r="J351" t="s">
        <v>20</v>
      </c>
      <c r="K351" t="s">
        <v>17</v>
      </c>
      <c r="L351" t="s">
        <v>21</v>
      </c>
      <c r="M351">
        <v>53.66102386294105</v>
      </c>
      <c r="N351">
        <v>13.154999999999999</v>
      </c>
    </row>
    <row r="352" spans="1:14" x14ac:dyDescent="0.3">
      <c r="A352">
        <v>7351</v>
      </c>
      <c r="B352">
        <v>36</v>
      </c>
      <c r="C352" s="1">
        <v>45535</v>
      </c>
      <c r="D352" t="s">
        <v>46</v>
      </c>
      <c r="E352">
        <v>102.89</v>
      </c>
      <c r="F352">
        <v>7</v>
      </c>
      <c r="G352">
        <v>0</v>
      </c>
      <c r="H352">
        <v>118.08</v>
      </c>
      <c r="I352" t="s">
        <v>68</v>
      </c>
      <c r="J352" t="s">
        <v>20</v>
      </c>
      <c r="K352" t="s">
        <v>32</v>
      </c>
      <c r="L352" t="s">
        <v>69</v>
      </c>
      <c r="M352">
        <v>114.76333948877441</v>
      </c>
      <c r="N352">
        <v>16.868571428571428</v>
      </c>
    </row>
    <row r="353" spans="1:14" x14ac:dyDescent="0.3">
      <c r="A353">
        <v>7352</v>
      </c>
      <c r="B353">
        <v>37</v>
      </c>
      <c r="C353" s="1">
        <v>45600</v>
      </c>
      <c r="D353" t="s">
        <v>14</v>
      </c>
      <c r="E353">
        <v>929.69</v>
      </c>
      <c r="F353">
        <v>2</v>
      </c>
      <c r="G353">
        <v>0.05</v>
      </c>
      <c r="H353">
        <v>474.77</v>
      </c>
      <c r="I353" t="s">
        <v>80</v>
      </c>
      <c r="J353" t="s">
        <v>16</v>
      </c>
      <c r="K353" t="s">
        <v>17</v>
      </c>
      <c r="L353" t="s">
        <v>81</v>
      </c>
      <c r="M353">
        <v>51.067560154460082</v>
      </c>
      <c r="N353">
        <v>237.38499999999999</v>
      </c>
    </row>
    <row r="354" spans="1:14" x14ac:dyDescent="0.3">
      <c r="A354">
        <v>7353</v>
      </c>
      <c r="B354">
        <v>51</v>
      </c>
      <c r="C354" s="1">
        <v>45485</v>
      </c>
      <c r="D354" t="s">
        <v>14</v>
      </c>
      <c r="E354">
        <v>857.65</v>
      </c>
      <c r="F354">
        <v>2</v>
      </c>
      <c r="G354">
        <v>0</v>
      </c>
      <c r="H354">
        <v>665.33</v>
      </c>
      <c r="I354" t="s">
        <v>27</v>
      </c>
      <c r="J354" t="s">
        <v>16</v>
      </c>
      <c r="K354" t="s">
        <v>17</v>
      </c>
      <c r="L354" t="s">
        <v>28</v>
      </c>
      <c r="M354">
        <v>77.575934238908644</v>
      </c>
      <c r="N354">
        <v>332.66500000000002</v>
      </c>
    </row>
    <row r="355" spans="1:14" x14ac:dyDescent="0.3">
      <c r="A355">
        <v>7354</v>
      </c>
      <c r="B355">
        <v>66</v>
      </c>
      <c r="C355" s="1">
        <v>45317</v>
      </c>
      <c r="D355" t="s">
        <v>14</v>
      </c>
      <c r="E355">
        <v>59.01</v>
      </c>
      <c r="F355">
        <v>4</v>
      </c>
      <c r="G355">
        <v>0.1</v>
      </c>
      <c r="H355">
        <v>57.99</v>
      </c>
      <c r="I355" t="s">
        <v>74</v>
      </c>
      <c r="J355" t="s">
        <v>20</v>
      </c>
      <c r="K355" t="s">
        <v>32</v>
      </c>
      <c r="L355" t="s">
        <v>94</v>
      </c>
      <c r="M355">
        <v>98.271479410269464</v>
      </c>
      <c r="N355">
        <v>14.4975</v>
      </c>
    </row>
    <row r="356" spans="1:14" x14ac:dyDescent="0.3">
      <c r="A356">
        <v>7355</v>
      </c>
      <c r="B356">
        <v>21</v>
      </c>
      <c r="C356" s="1">
        <v>45637</v>
      </c>
      <c r="D356" t="s">
        <v>14</v>
      </c>
      <c r="E356">
        <v>1033.21</v>
      </c>
      <c r="F356">
        <v>5</v>
      </c>
      <c r="G356">
        <v>0</v>
      </c>
      <c r="H356">
        <v>1445.25</v>
      </c>
      <c r="I356" t="s">
        <v>97</v>
      </c>
      <c r="J356" t="s">
        <v>54</v>
      </c>
      <c r="K356" t="s">
        <v>17</v>
      </c>
      <c r="L356" t="s">
        <v>98</v>
      </c>
      <c r="M356">
        <v>139.8795985327281</v>
      </c>
      <c r="N356">
        <v>289.05</v>
      </c>
    </row>
    <row r="357" spans="1:14" x14ac:dyDescent="0.3">
      <c r="A357">
        <v>7356</v>
      </c>
      <c r="B357">
        <v>5</v>
      </c>
      <c r="C357" s="1">
        <v>45449</v>
      </c>
      <c r="D357" t="s">
        <v>29</v>
      </c>
      <c r="E357">
        <v>103.42</v>
      </c>
      <c r="F357">
        <v>3</v>
      </c>
      <c r="G357">
        <v>0</v>
      </c>
      <c r="H357">
        <v>32.82</v>
      </c>
      <c r="I357" t="s">
        <v>105</v>
      </c>
      <c r="J357" t="s">
        <v>54</v>
      </c>
      <c r="K357" t="s">
        <v>17</v>
      </c>
      <c r="L357" t="s">
        <v>106</v>
      </c>
      <c r="M357">
        <v>31.734674144266101</v>
      </c>
      <c r="N357">
        <v>10.94</v>
      </c>
    </row>
    <row r="358" spans="1:14" x14ac:dyDescent="0.3">
      <c r="A358">
        <v>7357</v>
      </c>
      <c r="B358">
        <v>69</v>
      </c>
      <c r="C358" s="1">
        <v>45399</v>
      </c>
      <c r="D358" t="s">
        <v>26</v>
      </c>
      <c r="E358">
        <v>137.55000000000001</v>
      </c>
      <c r="F358">
        <v>5</v>
      </c>
      <c r="G358">
        <v>0.05</v>
      </c>
      <c r="H358">
        <v>126.66</v>
      </c>
      <c r="I358" t="s">
        <v>63</v>
      </c>
      <c r="J358" t="s">
        <v>54</v>
      </c>
      <c r="K358" t="s">
        <v>64</v>
      </c>
      <c r="L358" t="s">
        <v>65</v>
      </c>
      <c r="M358">
        <v>92.082878953107951</v>
      </c>
      <c r="N358">
        <v>25.332000000000001</v>
      </c>
    </row>
    <row r="359" spans="1:14" x14ac:dyDescent="0.3">
      <c r="A359">
        <v>7358</v>
      </c>
      <c r="B359">
        <v>28</v>
      </c>
      <c r="C359" s="1">
        <v>45382</v>
      </c>
      <c r="D359" t="s">
        <v>14</v>
      </c>
      <c r="E359">
        <v>1190.2</v>
      </c>
      <c r="F359">
        <v>5</v>
      </c>
      <c r="G359">
        <v>0.05</v>
      </c>
      <c r="H359">
        <v>1663.1</v>
      </c>
      <c r="I359" t="s">
        <v>76</v>
      </c>
      <c r="J359" t="s">
        <v>24</v>
      </c>
      <c r="K359" t="s">
        <v>32</v>
      </c>
      <c r="L359" t="s">
        <v>77</v>
      </c>
      <c r="M359">
        <v>139.73281801377919</v>
      </c>
      <c r="N359">
        <v>332.62</v>
      </c>
    </row>
    <row r="360" spans="1:14" x14ac:dyDescent="0.3">
      <c r="A360">
        <v>7359</v>
      </c>
      <c r="B360">
        <v>6</v>
      </c>
      <c r="C360" s="1">
        <v>45314</v>
      </c>
      <c r="D360" t="s">
        <v>26</v>
      </c>
      <c r="E360">
        <v>63.04</v>
      </c>
      <c r="F360">
        <v>5</v>
      </c>
      <c r="G360">
        <v>0.15</v>
      </c>
      <c r="H360">
        <v>80.45</v>
      </c>
      <c r="I360" t="s">
        <v>138</v>
      </c>
      <c r="J360" t="s">
        <v>20</v>
      </c>
      <c r="K360" t="s">
        <v>17</v>
      </c>
      <c r="L360" t="s">
        <v>139</v>
      </c>
      <c r="M360">
        <v>127.617385786802</v>
      </c>
      <c r="N360">
        <v>16.09</v>
      </c>
    </row>
    <row r="361" spans="1:14" x14ac:dyDescent="0.3">
      <c r="A361">
        <v>7360</v>
      </c>
      <c r="B361">
        <v>51</v>
      </c>
      <c r="C361" s="1">
        <v>45650</v>
      </c>
      <c r="D361" t="s">
        <v>43</v>
      </c>
      <c r="E361">
        <v>15.25</v>
      </c>
      <c r="F361">
        <v>6</v>
      </c>
      <c r="G361">
        <v>0.05</v>
      </c>
      <c r="H361">
        <v>-30.11</v>
      </c>
      <c r="I361" t="s">
        <v>27</v>
      </c>
      <c r="J361" t="s">
        <v>16</v>
      </c>
      <c r="K361" t="s">
        <v>17</v>
      </c>
      <c r="L361" t="s">
        <v>28</v>
      </c>
      <c r="M361">
        <v>-197.4426229508197</v>
      </c>
      <c r="N361">
        <v>-5.0183333333333344</v>
      </c>
    </row>
    <row r="362" spans="1:14" x14ac:dyDescent="0.3">
      <c r="A362">
        <v>7361</v>
      </c>
      <c r="B362">
        <v>16</v>
      </c>
      <c r="C362" s="1">
        <v>45335</v>
      </c>
      <c r="D362" t="s">
        <v>14</v>
      </c>
      <c r="E362">
        <v>351.47</v>
      </c>
      <c r="F362">
        <v>6</v>
      </c>
      <c r="G362">
        <v>0</v>
      </c>
      <c r="H362">
        <v>735.9</v>
      </c>
      <c r="I362" t="s">
        <v>157</v>
      </c>
      <c r="J362" t="s">
        <v>31</v>
      </c>
      <c r="K362" t="s">
        <v>32</v>
      </c>
      <c r="L362" t="s">
        <v>158</v>
      </c>
      <c r="M362">
        <v>209.37775628076361</v>
      </c>
      <c r="N362">
        <v>122.65</v>
      </c>
    </row>
    <row r="363" spans="1:14" x14ac:dyDescent="0.3">
      <c r="A363">
        <v>7362</v>
      </c>
      <c r="B363">
        <v>56</v>
      </c>
      <c r="C363" s="1">
        <v>45312</v>
      </c>
      <c r="D363" t="s">
        <v>46</v>
      </c>
      <c r="E363">
        <v>174.17</v>
      </c>
      <c r="F363">
        <v>1</v>
      </c>
      <c r="G363">
        <v>0.15</v>
      </c>
      <c r="H363">
        <v>48.73</v>
      </c>
      <c r="I363" t="s">
        <v>159</v>
      </c>
      <c r="J363" t="s">
        <v>24</v>
      </c>
      <c r="K363" t="s">
        <v>17</v>
      </c>
      <c r="L363" t="s">
        <v>160</v>
      </c>
      <c r="M363">
        <v>27.97841189642303</v>
      </c>
      <c r="N363">
        <v>48.73</v>
      </c>
    </row>
    <row r="364" spans="1:14" x14ac:dyDescent="0.3">
      <c r="A364">
        <v>7363</v>
      </c>
      <c r="B364">
        <v>2</v>
      </c>
      <c r="C364" s="1">
        <v>45564</v>
      </c>
      <c r="D364" t="s">
        <v>43</v>
      </c>
      <c r="E364">
        <v>49.58</v>
      </c>
      <c r="F364">
        <v>3</v>
      </c>
      <c r="G364">
        <v>0.2</v>
      </c>
      <c r="H364">
        <v>37.76</v>
      </c>
      <c r="I364" t="s">
        <v>151</v>
      </c>
      <c r="J364" t="s">
        <v>20</v>
      </c>
      <c r="K364" t="s">
        <v>17</v>
      </c>
      <c r="L364" t="s">
        <v>152</v>
      </c>
      <c r="M364">
        <v>76.159741831383627</v>
      </c>
      <c r="N364">
        <v>12.58666666666667</v>
      </c>
    </row>
    <row r="365" spans="1:14" x14ac:dyDescent="0.3">
      <c r="A365">
        <v>7364</v>
      </c>
      <c r="B365">
        <v>45</v>
      </c>
      <c r="C365" s="1">
        <v>45657</v>
      </c>
      <c r="D365" t="s">
        <v>14</v>
      </c>
      <c r="E365">
        <v>816.25</v>
      </c>
      <c r="F365">
        <v>4</v>
      </c>
      <c r="G365">
        <v>0.05</v>
      </c>
      <c r="H365">
        <v>988.34</v>
      </c>
      <c r="I365" t="s">
        <v>144</v>
      </c>
      <c r="J365" t="s">
        <v>24</v>
      </c>
      <c r="K365" t="s">
        <v>32</v>
      </c>
      <c r="L365" t="s">
        <v>145</v>
      </c>
      <c r="M365">
        <v>121.08300153139361</v>
      </c>
      <c r="N365">
        <v>247.08500000000001</v>
      </c>
    </row>
    <row r="366" spans="1:14" x14ac:dyDescent="0.3">
      <c r="A366">
        <v>7365</v>
      </c>
      <c r="B366">
        <v>38</v>
      </c>
      <c r="C366" s="1">
        <v>45455</v>
      </c>
      <c r="D366" t="s">
        <v>22</v>
      </c>
      <c r="E366">
        <v>43.14</v>
      </c>
      <c r="F366">
        <v>5</v>
      </c>
      <c r="G366">
        <v>0</v>
      </c>
      <c r="H366">
        <v>84.43</v>
      </c>
      <c r="I366" t="s">
        <v>34</v>
      </c>
      <c r="J366" t="s">
        <v>16</v>
      </c>
      <c r="K366" t="s">
        <v>32</v>
      </c>
      <c r="L366" t="s">
        <v>35</v>
      </c>
      <c r="M366">
        <v>195.71163653222069</v>
      </c>
      <c r="N366">
        <v>16.885999999999999</v>
      </c>
    </row>
    <row r="367" spans="1:14" x14ac:dyDescent="0.3">
      <c r="A367">
        <v>7366</v>
      </c>
      <c r="B367">
        <v>8</v>
      </c>
      <c r="C367" s="1">
        <v>45486</v>
      </c>
      <c r="D367" t="s">
        <v>14</v>
      </c>
      <c r="E367">
        <v>557.88</v>
      </c>
      <c r="F367">
        <v>4</v>
      </c>
      <c r="G367">
        <v>0.1</v>
      </c>
      <c r="H367">
        <v>816.63</v>
      </c>
      <c r="I367" t="s">
        <v>116</v>
      </c>
      <c r="J367" t="s">
        <v>31</v>
      </c>
      <c r="K367" t="s">
        <v>17</v>
      </c>
      <c r="L367" t="s">
        <v>117</v>
      </c>
      <c r="M367">
        <v>146.38094213809421</v>
      </c>
      <c r="N367">
        <v>204.1575</v>
      </c>
    </row>
    <row r="368" spans="1:14" x14ac:dyDescent="0.3">
      <c r="A368">
        <v>7367</v>
      </c>
      <c r="B368">
        <v>15</v>
      </c>
      <c r="C368" s="1">
        <v>45527</v>
      </c>
      <c r="D368" t="s">
        <v>43</v>
      </c>
      <c r="E368">
        <v>19.010000000000002</v>
      </c>
      <c r="F368">
        <v>4</v>
      </c>
      <c r="G368">
        <v>0.15</v>
      </c>
      <c r="H368">
        <v>14.05</v>
      </c>
      <c r="I368" t="s">
        <v>113</v>
      </c>
      <c r="J368" t="s">
        <v>24</v>
      </c>
      <c r="K368" t="s">
        <v>17</v>
      </c>
      <c r="L368" t="s">
        <v>114</v>
      </c>
      <c r="M368">
        <v>73.908469226722772</v>
      </c>
      <c r="N368">
        <v>3.5125000000000002</v>
      </c>
    </row>
    <row r="369" spans="1:14" x14ac:dyDescent="0.3">
      <c r="A369">
        <v>7368</v>
      </c>
      <c r="B369">
        <v>9</v>
      </c>
      <c r="C369" s="1">
        <v>45508</v>
      </c>
      <c r="D369" t="s">
        <v>14</v>
      </c>
      <c r="E369">
        <v>797.91</v>
      </c>
      <c r="F369">
        <v>3</v>
      </c>
      <c r="G369">
        <v>0.2</v>
      </c>
      <c r="H369">
        <v>487.26</v>
      </c>
      <c r="I369" t="s">
        <v>103</v>
      </c>
      <c r="J369" t="s">
        <v>24</v>
      </c>
      <c r="K369" t="s">
        <v>17</v>
      </c>
      <c r="L369" t="s">
        <v>104</v>
      </c>
      <c r="M369">
        <v>61.067037635823603</v>
      </c>
      <c r="N369">
        <v>162.41999999999999</v>
      </c>
    </row>
    <row r="370" spans="1:14" x14ac:dyDescent="0.3">
      <c r="A370">
        <v>7369</v>
      </c>
      <c r="B370">
        <v>31</v>
      </c>
      <c r="C370" s="1">
        <v>45633</v>
      </c>
      <c r="D370" t="s">
        <v>22</v>
      </c>
      <c r="E370">
        <v>15.11</v>
      </c>
      <c r="F370">
        <v>1</v>
      </c>
      <c r="G370">
        <v>0.1</v>
      </c>
      <c r="H370">
        <v>3.33</v>
      </c>
      <c r="I370" t="s">
        <v>82</v>
      </c>
      <c r="J370" t="s">
        <v>54</v>
      </c>
      <c r="K370" t="s">
        <v>32</v>
      </c>
      <c r="L370" t="s">
        <v>83</v>
      </c>
      <c r="M370">
        <v>22.03838517538054</v>
      </c>
      <c r="N370">
        <v>3.33</v>
      </c>
    </row>
    <row r="371" spans="1:14" x14ac:dyDescent="0.3">
      <c r="A371">
        <v>7370</v>
      </c>
      <c r="B371">
        <v>70</v>
      </c>
      <c r="C371" s="1">
        <v>45454</v>
      </c>
      <c r="D371" t="s">
        <v>43</v>
      </c>
      <c r="E371">
        <v>47.59</v>
      </c>
      <c r="F371">
        <v>6</v>
      </c>
      <c r="G371">
        <v>0</v>
      </c>
      <c r="H371">
        <v>-87.76</v>
      </c>
      <c r="I371" t="s">
        <v>142</v>
      </c>
      <c r="J371" t="s">
        <v>24</v>
      </c>
      <c r="K371" t="s">
        <v>17</v>
      </c>
      <c r="L371" t="s">
        <v>143</v>
      </c>
      <c r="M371">
        <v>-184.40848917839881</v>
      </c>
      <c r="N371">
        <v>-14.62666666666667</v>
      </c>
    </row>
    <row r="372" spans="1:14" x14ac:dyDescent="0.3">
      <c r="A372">
        <v>7371</v>
      </c>
      <c r="B372">
        <v>45</v>
      </c>
      <c r="C372" s="1">
        <v>45467</v>
      </c>
      <c r="D372" t="s">
        <v>43</v>
      </c>
      <c r="E372">
        <v>44.57</v>
      </c>
      <c r="F372">
        <v>4</v>
      </c>
      <c r="G372">
        <v>0</v>
      </c>
      <c r="H372">
        <v>39.549999999999997</v>
      </c>
      <c r="I372" t="s">
        <v>144</v>
      </c>
      <c r="J372" t="s">
        <v>24</v>
      </c>
      <c r="K372" t="s">
        <v>32</v>
      </c>
      <c r="L372" t="s">
        <v>145</v>
      </c>
      <c r="M372">
        <v>88.736818487772041</v>
      </c>
      <c r="N372">
        <v>9.8874999999999993</v>
      </c>
    </row>
    <row r="373" spans="1:14" x14ac:dyDescent="0.3">
      <c r="A373">
        <v>7372</v>
      </c>
      <c r="B373">
        <v>66</v>
      </c>
      <c r="C373" s="1">
        <v>45547</v>
      </c>
      <c r="D373" t="s">
        <v>46</v>
      </c>
      <c r="E373">
        <v>105.93</v>
      </c>
      <c r="F373">
        <v>1</v>
      </c>
      <c r="G373">
        <v>0.05</v>
      </c>
      <c r="H373">
        <v>44.38</v>
      </c>
      <c r="I373" t="s">
        <v>74</v>
      </c>
      <c r="J373" t="s">
        <v>20</v>
      </c>
      <c r="K373" t="s">
        <v>32</v>
      </c>
      <c r="L373" t="s">
        <v>94</v>
      </c>
      <c r="M373">
        <v>41.895591428301707</v>
      </c>
      <c r="N373">
        <v>44.38</v>
      </c>
    </row>
    <row r="374" spans="1:14" x14ac:dyDescent="0.3">
      <c r="A374">
        <v>7373</v>
      </c>
      <c r="B374">
        <v>49</v>
      </c>
      <c r="C374" s="1">
        <v>45610</v>
      </c>
      <c r="D374" t="s">
        <v>26</v>
      </c>
      <c r="E374">
        <v>109.22</v>
      </c>
      <c r="F374">
        <v>6</v>
      </c>
      <c r="G374">
        <v>0.05</v>
      </c>
      <c r="H374">
        <v>275.11</v>
      </c>
      <c r="I374" t="s">
        <v>70</v>
      </c>
      <c r="J374" t="s">
        <v>31</v>
      </c>
      <c r="K374" t="s">
        <v>17</v>
      </c>
      <c r="L374" t="s">
        <v>71</v>
      </c>
      <c r="M374">
        <v>251.8861014466215</v>
      </c>
      <c r="N374">
        <v>45.851666666666667</v>
      </c>
    </row>
    <row r="375" spans="1:14" x14ac:dyDescent="0.3">
      <c r="A375">
        <v>7374</v>
      </c>
      <c r="B375">
        <v>6</v>
      </c>
      <c r="C375" s="1">
        <v>45348</v>
      </c>
      <c r="D375" t="s">
        <v>46</v>
      </c>
      <c r="E375">
        <v>52.15</v>
      </c>
      <c r="F375">
        <v>2</v>
      </c>
      <c r="G375">
        <v>0</v>
      </c>
      <c r="H375">
        <v>35.22</v>
      </c>
      <c r="I375" t="s">
        <v>138</v>
      </c>
      <c r="J375" t="s">
        <v>20</v>
      </c>
      <c r="K375" t="s">
        <v>17</v>
      </c>
      <c r="L375" t="s">
        <v>139</v>
      </c>
      <c r="M375">
        <v>67.535953978907003</v>
      </c>
      <c r="N375">
        <v>17.61</v>
      </c>
    </row>
    <row r="376" spans="1:14" x14ac:dyDescent="0.3">
      <c r="A376">
        <v>7375</v>
      </c>
      <c r="B376">
        <v>47</v>
      </c>
      <c r="C376" s="1">
        <v>45610</v>
      </c>
      <c r="D376" t="s">
        <v>22</v>
      </c>
      <c r="E376">
        <v>74.39</v>
      </c>
      <c r="F376">
        <v>5</v>
      </c>
      <c r="G376">
        <v>0.15</v>
      </c>
      <c r="H376">
        <v>65.209999999999994</v>
      </c>
      <c r="I376" t="s">
        <v>30</v>
      </c>
      <c r="J376" t="s">
        <v>31</v>
      </c>
      <c r="K376" t="s">
        <v>32</v>
      </c>
      <c r="L376" t="s">
        <v>33</v>
      </c>
      <c r="M376">
        <v>87.659631670923503</v>
      </c>
      <c r="N376">
        <v>13.042</v>
      </c>
    </row>
    <row r="377" spans="1:14" x14ac:dyDescent="0.3">
      <c r="A377">
        <v>7376</v>
      </c>
      <c r="B377">
        <v>39</v>
      </c>
      <c r="C377" s="1">
        <v>45503</v>
      </c>
      <c r="D377" t="s">
        <v>29</v>
      </c>
      <c r="E377">
        <v>41.9</v>
      </c>
      <c r="F377">
        <v>7</v>
      </c>
      <c r="G377">
        <v>0.2</v>
      </c>
      <c r="H377">
        <v>90.03</v>
      </c>
      <c r="I377" t="s">
        <v>15</v>
      </c>
      <c r="J377" t="s">
        <v>16</v>
      </c>
      <c r="K377" t="s">
        <v>17</v>
      </c>
      <c r="L377" t="s">
        <v>18</v>
      </c>
      <c r="M377">
        <v>214.86873508353219</v>
      </c>
      <c r="N377">
        <v>12.86142857142857</v>
      </c>
    </row>
    <row r="378" spans="1:14" x14ac:dyDescent="0.3">
      <c r="A378">
        <v>7377</v>
      </c>
      <c r="B378">
        <v>3</v>
      </c>
      <c r="C378" s="1">
        <v>45516</v>
      </c>
      <c r="D378" t="s">
        <v>46</v>
      </c>
      <c r="E378">
        <v>164.91</v>
      </c>
      <c r="F378">
        <v>3</v>
      </c>
      <c r="G378">
        <v>0</v>
      </c>
      <c r="H378">
        <v>198.52</v>
      </c>
      <c r="I378" t="s">
        <v>19</v>
      </c>
      <c r="J378" t="s">
        <v>20</v>
      </c>
      <c r="K378" t="s">
        <v>17</v>
      </c>
      <c r="L378" t="s">
        <v>21</v>
      </c>
      <c r="M378">
        <v>120.3808137772118</v>
      </c>
      <c r="N378">
        <v>66.173333333333332</v>
      </c>
    </row>
    <row r="379" spans="1:14" x14ac:dyDescent="0.3">
      <c r="A379">
        <v>7378</v>
      </c>
      <c r="B379">
        <v>4</v>
      </c>
      <c r="C379" s="1">
        <v>45408</v>
      </c>
      <c r="D379" t="s">
        <v>14</v>
      </c>
      <c r="E379">
        <v>103.42</v>
      </c>
      <c r="F379">
        <v>6</v>
      </c>
      <c r="G379">
        <v>0</v>
      </c>
      <c r="H379">
        <v>820.25</v>
      </c>
      <c r="I379" t="s">
        <v>140</v>
      </c>
      <c r="J379" t="s">
        <v>20</v>
      </c>
      <c r="K379" t="s">
        <v>17</v>
      </c>
      <c r="L379" t="s">
        <v>141</v>
      </c>
      <c r="M379">
        <v>793.12512086637014</v>
      </c>
      <c r="N379">
        <v>136.70833333333329</v>
      </c>
    </row>
    <row r="380" spans="1:14" x14ac:dyDescent="0.3">
      <c r="A380">
        <v>7379</v>
      </c>
      <c r="B380">
        <v>1</v>
      </c>
      <c r="C380" s="1">
        <v>45613</v>
      </c>
      <c r="D380" t="s">
        <v>22</v>
      </c>
      <c r="E380">
        <v>14.97</v>
      </c>
      <c r="F380">
        <v>6</v>
      </c>
      <c r="G380">
        <v>0.1</v>
      </c>
      <c r="H380">
        <v>24.91</v>
      </c>
      <c r="I380" t="s">
        <v>56</v>
      </c>
      <c r="J380" t="s">
        <v>31</v>
      </c>
      <c r="K380" t="s">
        <v>32</v>
      </c>
      <c r="L380" t="s">
        <v>57</v>
      </c>
      <c r="M380">
        <v>166.39946559786239</v>
      </c>
      <c r="N380">
        <v>4.1516666666666664</v>
      </c>
    </row>
    <row r="381" spans="1:14" x14ac:dyDescent="0.3">
      <c r="A381">
        <v>7380</v>
      </c>
      <c r="B381">
        <v>20</v>
      </c>
      <c r="C381" s="1">
        <v>45510</v>
      </c>
      <c r="D381" t="s">
        <v>43</v>
      </c>
      <c r="E381">
        <v>49.68</v>
      </c>
      <c r="F381">
        <v>4</v>
      </c>
      <c r="G381">
        <v>0.15</v>
      </c>
      <c r="H381">
        <v>57.86</v>
      </c>
      <c r="I381" t="s">
        <v>88</v>
      </c>
      <c r="J381" t="s">
        <v>54</v>
      </c>
      <c r="K381" t="s">
        <v>32</v>
      </c>
      <c r="L381" t="s">
        <v>89</v>
      </c>
      <c r="M381">
        <v>116.4653784219002</v>
      </c>
      <c r="N381">
        <v>14.465</v>
      </c>
    </row>
    <row r="382" spans="1:14" x14ac:dyDescent="0.3">
      <c r="A382">
        <v>7381</v>
      </c>
      <c r="B382">
        <v>27</v>
      </c>
      <c r="C382" s="1">
        <v>45320</v>
      </c>
      <c r="D382" t="s">
        <v>14</v>
      </c>
      <c r="E382">
        <v>791.24</v>
      </c>
      <c r="F382">
        <v>7</v>
      </c>
      <c r="G382">
        <v>0</v>
      </c>
      <c r="H382">
        <v>1533.77</v>
      </c>
      <c r="I382" t="s">
        <v>126</v>
      </c>
      <c r="J382" t="s">
        <v>20</v>
      </c>
      <c r="K382" t="s">
        <v>64</v>
      </c>
      <c r="L382" t="s">
        <v>100</v>
      </c>
      <c r="M382">
        <v>193.8438400485314</v>
      </c>
      <c r="N382">
        <v>219.11</v>
      </c>
    </row>
    <row r="383" spans="1:14" x14ac:dyDescent="0.3">
      <c r="A383">
        <v>7382</v>
      </c>
      <c r="B383">
        <v>16</v>
      </c>
      <c r="C383" s="1">
        <v>45340</v>
      </c>
      <c r="D383" t="s">
        <v>26</v>
      </c>
      <c r="E383">
        <v>47.76</v>
      </c>
      <c r="F383">
        <v>2</v>
      </c>
      <c r="G383">
        <v>0.05</v>
      </c>
      <c r="H383">
        <v>23.57</v>
      </c>
      <c r="I383" t="s">
        <v>157</v>
      </c>
      <c r="J383" t="s">
        <v>31</v>
      </c>
      <c r="K383" t="s">
        <v>32</v>
      </c>
      <c r="L383" t="s">
        <v>158</v>
      </c>
      <c r="M383">
        <v>49.35092127303183</v>
      </c>
      <c r="N383">
        <v>11.785</v>
      </c>
    </row>
    <row r="384" spans="1:14" x14ac:dyDescent="0.3">
      <c r="A384">
        <v>7383</v>
      </c>
      <c r="B384">
        <v>67</v>
      </c>
      <c r="C384" s="1">
        <v>45327</v>
      </c>
      <c r="D384" t="s">
        <v>22</v>
      </c>
      <c r="E384">
        <v>44.19</v>
      </c>
      <c r="F384">
        <v>3</v>
      </c>
      <c r="G384">
        <v>0</v>
      </c>
      <c r="H384">
        <v>29.81</v>
      </c>
      <c r="I384" t="s">
        <v>99</v>
      </c>
      <c r="J384" t="s">
        <v>16</v>
      </c>
      <c r="K384" t="s">
        <v>39</v>
      </c>
      <c r="L384" t="s">
        <v>100</v>
      </c>
      <c r="M384">
        <v>67.458701063589046</v>
      </c>
      <c r="N384">
        <v>9.9366666666666656</v>
      </c>
    </row>
    <row r="385" spans="1:14" x14ac:dyDescent="0.3">
      <c r="A385">
        <v>7384</v>
      </c>
      <c r="B385">
        <v>13</v>
      </c>
      <c r="C385" s="1">
        <v>45493</v>
      </c>
      <c r="D385" t="s">
        <v>46</v>
      </c>
      <c r="E385">
        <v>33.26</v>
      </c>
      <c r="F385">
        <v>5</v>
      </c>
      <c r="G385">
        <v>0.1</v>
      </c>
      <c r="H385">
        <v>51.78</v>
      </c>
      <c r="I385" t="s">
        <v>147</v>
      </c>
      <c r="J385" t="s">
        <v>24</v>
      </c>
      <c r="K385" t="s">
        <v>17</v>
      </c>
      <c r="L385" t="s">
        <v>148</v>
      </c>
      <c r="M385">
        <v>155.68250150330729</v>
      </c>
      <c r="N385">
        <v>10.356</v>
      </c>
    </row>
    <row r="386" spans="1:14" x14ac:dyDescent="0.3">
      <c r="A386">
        <v>7385</v>
      </c>
      <c r="B386">
        <v>62</v>
      </c>
      <c r="C386" s="1">
        <v>45608</v>
      </c>
      <c r="D386" t="s">
        <v>26</v>
      </c>
      <c r="E386">
        <v>110.33</v>
      </c>
      <c r="F386">
        <v>2</v>
      </c>
      <c r="G386">
        <v>0.1</v>
      </c>
      <c r="H386">
        <v>66.63</v>
      </c>
      <c r="I386" t="s">
        <v>72</v>
      </c>
      <c r="J386" t="s">
        <v>54</v>
      </c>
      <c r="K386" t="s">
        <v>39</v>
      </c>
      <c r="L386" t="s">
        <v>73</v>
      </c>
      <c r="M386">
        <v>60.391552614882627</v>
      </c>
      <c r="N386">
        <v>33.314999999999998</v>
      </c>
    </row>
    <row r="387" spans="1:14" x14ac:dyDescent="0.3">
      <c r="A387">
        <v>7386</v>
      </c>
      <c r="B387">
        <v>50</v>
      </c>
      <c r="C387" s="1">
        <v>45486</v>
      </c>
      <c r="D387" t="s">
        <v>26</v>
      </c>
      <c r="E387">
        <v>94.92</v>
      </c>
      <c r="F387">
        <v>3</v>
      </c>
      <c r="G387">
        <v>0</v>
      </c>
      <c r="H387">
        <v>68.83</v>
      </c>
      <c r="I387" t="s">
        <v>118</v>
      </c>
      <c r="J387" t="s">
        <v>16</v>
      </c>
      <c r="K387" t="s">
        <v>17</v>
      </c>
      <c r="L387" t="s">
        <v>119</v>
      </c>
      <c r="M387">
        <v>72.51369574378424</v>
      </c>
      <c r="N387">
        <v>22.943333333333332</v>
      </c>
    </row>
    <row r="388" spans="1:14" x14ac:dyDescent="0.3">
      <c r="A388">
        <v>7387</v>
      </c>
      <c r="B388">
        <v>57</v>
      </c>
      <c r="C388" s="1">
        <v>45610</v>
      </c>
      <c r="D388" t="s">
        <v>29</v>
      </c>
      <c r="E388">
        <v>203.54</v>
      </c>
      <c r="F388">
        <v>5</v>
      </c>
      <c r="G388">
        <v>0</v>
      </c>
      <c r="H388">
        <v>196.31</v>
      </c>
      <c r="I388" t="s">
        <v>90</v>
      </c>
      <c r="J388" t="s">
        <v>54</v>
      </c>
      <c r="K388" t="s">
        <v>39</v>
      </c>
      <c r="L388" t="s">
        <v>91</v>
      </c>
      <c r="M388">
        <v>96.447872654023783</v>
      </c>
      <c r="N388">
        <v>39.262</v>
      </c>
    </row>
    <row r="389" spans="1:14" x14ac:dyDescent="0.3">
      <c r="A389">
        <v>7388</v>
      </c>
      <c r="B389">
        <v>29</v>
      </c>
      <c r="C389" s="1">
        <v>45440</v>
      </c>
      <c r="D389" t="s">
        <v>22</v>
      </c>
      <c r="E389">
        <v>55.83</v>
      </c>
      <c r="F389">
        <v>6</v>
      </c>
      <c r="G389">
        <v>0</v>
      </c>
      <c r="H389">
        <v>111.75</v>
      </c>
      <c r="I389" t="s">
        <v>61</v>
      </c>
      <c r="J389" t="s">
        <v>20</v>
      </c>
      <c r="K389" t="s">
        <v>39</v>
      </c>
      <c r="L389" t="s">
        <v>62</v>
      </c>
      <c r="M389">
        <v>200.16120365394951</v>
      </c>
      <c r="N389">
        <v>18.625</v>
      </c>
    </row>
    <row r="390" spans="1:14" x14ac:dyDescent="0.3">
      <c r="A390">
        <v>7389</v>
      </c>
      <c r="B390">
        <v>11</v>
      </c>
      <c r="C390" s="1">
        <v>45501</v>
      </c>
      <c r="D390" t="s">
        <v>14</v>
      </c>
      <c r="E390">
        <v>570.16</v>
      </c>
      <c r="F390">
        <v>3</v>
      </c>
      <c r="G390">
        <v>0.15</v>
      </c>
      <c r="H390">
        <v>479.2</v>
      </c>
      <c r="I390" t="s">
        <v>124</v>
      </c>
      <c r="J390" t="s">
        <v>20</v>
      </c>
      <c r="K390" t="s">
        <v>32</v>
      </c>
      <c r="L390" t="s">
        <v>125</v>
      </c>
      <c r="M390">
        <v>84.046583415181715</v>
      </c>
      <c r="N390">
        <v>159.73333333333329</v>
      </c>
    </row>
    <row r="391" spans="1:14" x14ac:dyDescent="0.3">
      <c r="A391">
        <v>7390</v>
      </c>
      <c r="B391">
        <v>50</v>
      </c>
      <c r="C391" s="1">
        <v>45308</v>
      </c>
      <c r="D391" t="s">
        <v>26</v>
      </c>
      <c r="E391">
        <v>72.17</v>
      </c>
      <c r="F391">
        <v>2</v>
      </c>
      <c r="G391">
        <v>0.15</v>
      </c>
      <c r="H391">
        <v>37.86</v>
      </c>
      <c r="I391" t="s">
        <v>118</v>
      </c>
      <c r="J391" t="s">
        <v>16</v>
      </c>
      <c r="K391" t="s">
        <v>17</v>
      </c>
      <c r="L391" t="s">
        <v>119</v>
      </c>
      <c r="M391">
        <v>52.459470694194273</v>
      </c>
      <c r="N391">
        <v>18.93</v>
      </c>
    </row>
    <row r="392" spans="1:14" x14ac:dyDescent="0.3">
      <c r="A392">
        <v>7391</v>
      </c>
      <c r="B392">
        <v>54</v>
      </c>
      <c r="C392" s="1">
        <v>45417</v>
      </c>
      <c r="D392" t="s">
        <v>22</v>
      </c>
      <c r="E392">
        <v>51.01</v>
      </c>
      <c r="F392">
        <v>7</v>
      </c>
      <c r="G392">
        <v>0.15</v>
      </c>
      <c r="H392">
        <v>100.68</v>
      </c>
      <c r="I392" t="s">
        <v>131</v>
      </c>
      <c r="J392" t="s">
        <v>24</v>
      </c>
      <c r="K392" t="s">
        <v>32</v>
      </c>
      <c r="L392" t="s">
        <v>132</v>
      </c>
      <c r="M392">
        <v>197.3730641050775</v>
      </c>
      <c r="N392">
        <v>14.382857142857141</v>
      </c>
    </row>
    <row r="393" spans="1:14" x14ac:dyDescent="0.3">
      <c r="A393">
        <v>7392</v>
      </c>
      <c r="B393">
        <v>66</v>
      </c>
      <c r="C393" s="1">
        <v>45449</v>
      </c>
      <c r="D393" t="s">
        <v>29</v>
      </c>
      <c r="E393">
        <v>37.020000000000003</v>
      </c>
      <c r="F393">
        <v>2</v>
      </c>
      <c r="G393">
        <v>0.1</v>
      </c>
      <c r="H393">
        <v>18.59</v>
      </c>
      <c r="I393" t="s">
        <v>74</v>
      </c>
      <c r="J393" t="s">
        <v>20</v>
      </c>
      <c r="K393" t="s">
        <v>32</v>
      </c>
      <c r="L393" t="s">
        <v>94</v>
      </c>
      <c r="M393">
        <v>50.216099405726631</v>
      </c>
      <c r="N393">
        <v>9.2949999999999999</v>
      </c>
    </row>
    <row r="394" spans="1:14" x14ac:dyDescent="0.3">
      <c r="A394">
        <v>7393</v>
      </c>
      <c r="B394">
        <v>46</v>
      </c>
      <c r="C394" s="1">
        <v>45498</v>
      </c>
      <c r="D394" t="s">
        <v>26</v>
      </c>
      <c r="E394">
        <v>19.14</v>
      </c>
      <c r="F394">
        <v>3</v>
      </c>
      <c r="G394">
        <v>0.05</v>
      </c>
      <c r="H394">
        <v>17.940000000000001</v>
      </c>
      <c r="I394" t="s">
        <v>111</v>
      </c>
      <c r="J394" t="s">
        <v>20</v>
      </c>
      <c r="K394" t="s">
        <v>17</v>
      </c>
      <c r="L394" t="s">
        <v>112</v>
      </c>
      <c r="M394">
        <v>93.730407523510976</v>
      </c>
      <c r="N394">
        <v>5.98</v>
      </c>
    </row>
    <row r="395" spans="1:14" x14ac:dyDescent="0.3">
      <c r="A395">
        <v>7394</v>
      </c>
      <c r="B395">
        <v>19</v>
      </c>
      <c r="C395" s="1">
        <v>45612</v>
      </c>
      <c r="D395" t="s">
        <v>26</v>
      </c>
      <c r="E395">
        <v>104.6</v>
      </c>
      <c r="F395">
        <v>2</v>
      </c>
      <c r="G395">
        <v>0.15</v>
      </c>
      <c r="H395">
        <v>79.61</v>
      </c>
      <c r="I395" t="s">
        <v>84</v>
      </c>
      <c r="J395" t="s">
        <v>16</v>
      </c>
      <c r="K395" t="s">
        <v>17</v>
      </c>
      <c r="L395" t="s">
        <v>85</v>
      </c>
      <c r="M395">
        <v>76.108986615678774</v>
      </c>
      <c r="N395">
        <v>39.805</v>
      </c>
    </row>
    <row r="396" spans="1:14" x14ac:dyDescent="0.3">
      <c r="A396">
        <v>7395</v>
      </c>
      <c r="B396">
        <v>2</v>
      </c>
      <c r="C396" s="1">
        <v>45400</v>
      </c>
      <c r="D396" t="s">
        <v>14</v>
      </c>
      <c r="E396">
        <v>749.04</v>
      </c>
      <c r="F396">
        <v>2</v>
      </c>
      <c r="G396">
        <v>0.05</v>
      </c>
      <c r="H396">
        <v>303.47000000000003</v>
      </c>
      <c r="I396" t="s">
        <v>151</v>
      </c>
      <c r="J396" t="s">
        <v>20</v>
      </c>
      <c r="K396" t="s">
        <v>17</v>
      </c>
      <c r="L396" t="s">
        <v>152</v>
      </c>
      <c r="M396">
        <v>40.514525258998191</v>
      </c>
      <c r="N396">
        <v>151.73500000000001</v>
      </c>
    </row>
    <row r="397" spans="1:14" x14ac:dyDescent="0.3">
      <c r="A397">
        <v>7396</v>
      </c>
      <c r="B397">
        <v>14</v>
      </c>
      <c r="C397" s="1">
        <v>45366</v>
      </c>
      <c r="D397" t="s">
        <v>46</v>
      </c>
      <c r="E397">
        <v>297.94</v>
      </c>
      <c r="F397">
        <v>4</v>
      </c>
      <c r="G397">
        <v>0.05</v>
      </c>
      <c r="H397">
        <v>262.61</v>
      </c>
      <c r="I397" t="s">
        <v>41</v>
      </c>
      <c r="J397" t="s">
        <v>24</v>
      </c>
      <c r="K397" t="s">
        <v>17</v>
      </c>
      <c r="L397" t="s">
        <v>42</v>
      </c>
      <c r="M397">
        <v>88.141907766664431</v>
      </c>
      <c r="N397">
        <v>65.652500000000003</v>
      </c>
    </row>
    <row r="398" spans="1:14" x14ac:dyDescent="0.3">
      <c r="A398">
        <v>7397</v>
      </c>
      <c r="B398">
        <v>37</v>
      </c>
      <c r="C398" s="1">
        <v>45490</v>
      </c>
      <c r="D398" t="s">
        <v>46</v>
      </c>
      <c r="E398">
        <v>393.02</v>
      </c>
      <c r="F398">
        <v>7</v>
      </c>
      <c r="G398">
        <v>0.2</v>
      </c>
      <c r="H398">
        <v>894.87</v>
      </c>
      <c r="I398" t="s">
        <v>80</v>
      </c>
      <c r="J398" t="s">
        <v>16</v>
      </c>
      <c r="K398" t="s">
        <v>17</v>
      </c>
      <c r="L398" t="s">
        <v>81</v>
      </c>
      <c r="M398">
        <v>227.69070276321821</v>
      </c>
      <c r="N398">
        <v>127.8385714285714</v>
      </c>
    </row>
    <row r="399" spans="1:14" x14ac:dyDescent="0.3">
      <c r="A399">
        <v>7398</v>
      </c>
      <c r="B399">
        <v>32</v>
      </c>
      <c r="C399" s="1">
        <v>45342</v>
      </c>
      <c r="D399" t="s">
        <v>29</v>
      </c>
      <c r="E399">
        <v>140.47</v>
      </c>
      <c r="F399">
        <v>4</v>
      </c>
      <c r="G399">
        <v>0.2</v>
      </c>
      <c r="H399">
        <v>181.61</v>
      </c>
      <c r="I399" t="s">
        <v>44</v>
      </c>
      <c r="J399" t="s">
        <v>24</v>
      </c>
      <c r="K399" t="s">
        <v>17</v>
      </c>
      <c r="L399" t="s">
        <v>45</v>
      </c>
      <c r="M399">
        <v>129.28739232576351</v>
      </c>
      <c r="N399">
        <v>45.402500000000003</v>
      </c>
    </row>
    <row r="400" spans="1:14" x14ac:dyDescent="0.3">
      <c r="A400">
        <v>7399</v>
      </c>
      <c r="B400">
        <v>61</v>
      </c>
      <c r="C400" s="1">
        <v>45495</v>
      </c>
      <c r="D400" t="s">
        <v>22</v>
      </c>
      <c r="E400">
        <v>19.03</v>
      </c>
      <c r="F400">
        <v>6</v>
      </c>
      <c r="G400">
        <v>0.05</v>
      </c>
      <c r="H400">
        <v>39.82</v>
      </c>
      <c r="I400" t="s">
        <v>129</v>
      </c>
      <c r="J400" t="s">
        <v>24</v>
      </c>
      <c r="K400" t="s">
        <v>32</v>
      </c>
      <c r="L400" t="s">
        <v>130</v>
      </c>
      <c r="M400">
        <v>209.24855491329481</v>
      </c>
      <c r="N400">
        <v>6.6366666666666667</v>
      </c>
    </row>
    <row r="401" spans="1:14" x14ac:dyDescent="0.3">
      <c r="A401">
        <v>7400</v>
      </c>
      <c r="B401">
        <v>33</v>
      </c>
      <c r="C401" s="1">
        <v>45458</v>
      </c>
      <c r="D401" t="s">
        <v>46</v>
      </c>
      <c r="E401">
        <v>354.29</v>
      </c>
      <c r="F401">
        <v>7</v>
      </c>
      <c r="G401">
        <v>0.05</v>
      </c>
      <c r="H401">
        <v>712.63</v>
      </c>
      <c r="I401" t="s">
        <v>58</v>
      </c>
      <c r="J401" t="s">
        <v>24</v>
      </c>
      <c r="K401" t="s">
        <v>17</v>
      </c>
      <c r="L401" t="s">
        <v>40</v>
      </c>
      <c r="M401">
        <v>201.14313133308869</v>
      </c>
      <c r="N401">
        <v>101.8042857142857</v>
      </c>
    </row>
    <row r="402" spans="1:14" x14ac:dyDescent="0.3">
      <c r="A402">
        <v>7401</v>
      </c>
      <c r="B402">
        <v>63</v>
      </c>
      <c r="C402" s="1">
        <v>45571</v>
      </c>
      <c r="D402" t="s">
        <v>14</v>
      </c>
      <c r="E402">
        <v>120.83</v>
      </c>
      <c r="F402">
        <v>4</v>
      </c>
      <c r="G402">
        <v>0.15</v>
      </c>
      <c r="H402">
        <v>93.52</v>
      </c>
      <c r="I402" t="s">
        <v>153</v>
      </c>
      <c r="J402" t="s">
        <v>31</v>
      </c>
      <c r="K402" t="s">
        <v>39</v>
      </c>
      <c r="L402" t="s">
        <v>154</v>
      </c>
      <c r="M402">
        <v>77.397997186129274</v>
      </c>
      <c r="N402">
        <v>23.38</v>
      </c>
    </row>
    <row r="403" spans="1:14" x14ac:dyDescent="0.3">
      <c r="A403">
        <v>7402</v>
      </c>
      <c r="B403">
        <v>4</v>
      </c>
      <c r="C403" s="1">
        <v>45638</v>
      </c>
      <c r="D403" t="s">
        <v>46</v>
      </c>
      <c r="E403">
        <v>220.84</v>
      </c>
      <c r="F403">
        <v>3</v>
      </c>
      <c r="G403">
        <v>0</v>
      </c>
      <c r="H403">
        <v>219.14</v>
      </c>
      <c r="I403" t="s">
        <v>140</v>
      </c>
      <c r="J403" t="s">
        <v>20</v>
      </c>
      <c r="K403" t="s">
        <v>17</v>
      </c>
      <c r="L403" t="s">
        <v>141</v>
      </c>
      <c r="M403">
        <v>99.230211918130763</v>
      </c>
      <c r="N403">
        <v>73.046666666666667</v>
      </c>
    </row>
    <row r="404" spans="1:14" x14ac:dyDescent="0.3">
      <c r="A404">
        <v>7403</v>
      </c>
      <c r="B404">
        <v>21</v>
      </c>
      <c r="C404" s="1">
        <v>45466</v>
      </c>
      <c r="D404" t="s">
        <v>29</v>
      </c>
      <c r="E404">
        <v>29.01</v>
      </c>
      <c r="F404">
        <v>7</v>
      </c>
      <c r="G404">
        <v>0</v>
      </c>
      <c r="H404">
        <v>87.03</v>
      </c>
      <c r="I404" t="s">
        <v>97</v>
      </c>
      <c r="J404" t="s">
        <v>54</v>
      </c>
      <c r="K404" t="s">
        <v>17</v>
      </c>
      <c r="L404" t="s">
        <v>98</v>
      </c>
      <c r="M404">
        <v>300</v>
      </c>
      <c r="N404">
        <v>12.43285714285714</v>
      </c>
    </row>
    <row r="405" spans="1:14" x14ac:dyDescent="0.3">
      <c r="A405">
        <v>7404</v>
      </c>
      <c r="B405">
        <v>63</v>
      </c>
      <c r="C405" s="1">
        <v>45482</v>
      </c>
      <c r="D405" t="s">
        <v>29</v>
      </c>
      <c r="E405">
        <v>28.58</v>
      </c>
      <c r="F405">
        <v>5</v>
      </c>
      <c r="G405">
        <v>0.15</v>
      </c>
      <c r="H405">
        <v>30.34</v>
      </c>
      <c r="I405" t="s">
        <v>153</v>
      </c>
      <c r="J405" t="s">
        <v>31</v>
      </c>
      <c r="K405" t="s">
        <v>39</v>
      </c>
      <c r="L405" t="s">
        <v>154</v>
      </c>
      <c r="M405">
        <v>106.15815255423369</v>
      </c>
      <c r="N405">
        <v>6.0679999999999996</v>
      </c>
    </row>
    <row r="406" spans="1:14" x14ac:dyDescent="0.3">
      <c r="A406">
        <v>7405</v>
      </c>
      <c r="B406">
        <v>13</v>
      </c>
      <c r="C406" s="1">
        <v>45353</v>
      </c>
      <c r="D406" t="s">
        <v>22</v>
      </c>
      <c r="E406">
        <v>39.08</v>
      </c>
      <c r="F406">
        <v>4</v>
      </c>
      <c r="G406">
        <v>0.1</v>
      </c>
      <c r="H406">
        <v>27.84</v>
      </c>
      <c r="I406" t="s">
        <v>147</v>
      </c>
      <c r="J406" t="s">
        <v>24</v>
      </c>
      <c r="K406" t="s">
        <v>17</v>
      </c>
      <c r="L406" t="s">
        <v>148</v>
      </c>
      <c r="M406">
        <v>71.238485158648928</v>
      </c>
      <c r="N406">
        <v>6.96</v>
      </c>
    </row>
    <row r="407" spans="1:14" x14ac:dyDescent="0.3">
      <c r="A407">
        <v>7406</v>
      </c>
      <c r="B407">
        <v>58</v>
      </c>
      <c r="C407" s="1">
        <v>45345</v>
      </c>
      <c r="D407" t="s">
        <v>22</v>
      </c>
      <c r="E407">
        <v>108.9</v>
      </c>
      <c r="F407">
        <v>4</v>
      </c>
      <c r="G407">
        <v>0.15</v>
      </c>
      <c r="H407">
        <v>151.12</v>
      </c>
      <c r="I407" t="s">
        <v>155</v>
      </c>
      <c r="J407" t="s">
        <v>24</v>
      </c>
      <c r="K407" t="s">
        <v>17</v>
      </c>
      <c r="L407" t="s">
        <v>156</v>
      </c>
      <c r="M407">
        <v>138.76951331496781</v>
      </c>
      <c r="N407">
        <v>37.78</v>
      </c>
    </row>
    <row r="408" spans="1:14" x14ac:dyDescent="0.3">
      <c r="A408">
        <v>7407</v>
      </c>
      <c r="B408">
        <v>70</v>
      </c>
      <c r="C408" s="1">
        <v>45553</v>
      </c>
      <c r="D408" t="s">
        <v>43</v>
      </c>
      <c r="E408">
        <v>48.92</v>
      </c>
      <c r="F408">
        <v>6</v>
      </c>
      <c r="G408">
        <v>0</v>
      </c>
      <c r="H408">
        <v>-55.89</v>
      </c>
      <c r="I408" t="s">
        <v>142</v>
      </c>
      <c r="J408" t="s">
        <v>24</v>
      </c>
      <c r="K408" t="s">
        <v>17</v>
      </c>
      <c r="L408" t="s">
        <v>143</v>
      </c>
      <c r="M408">
        <v>-114.2477514309076</v>
      </c>
      <c r="N408">
        <v>-9.3149999999999995</v>
      </c>
    </row>
    <row r="409" spans="1:14" x14ac:dyDescent="0.3">
      <c r="A409">
        <v>7408</v>
      </c>
      <c r="B409">
        <v>18</v>
      </c>
      <c r="C409" s="1">
        <v>45490</v>
      </c>
      <c r="D409" t="s">
        <v>43</v>
      </c>
      <c r="E409">
        <v>36.43</v>
      </c>
      <c r="F409">
        <v>5</v>
      </c>
      <c r="G409">
        <v>0</v>
      </c>
      <c r="H409">
        <v>74.14</v>
      </c>
      <c r="I409" t="s">
        <v>92</v>
      </c>
      <c r="J409" t="s">
        <v>20</v>
      </c>
      <c r="K409" t="s">
        <v>32</v>
      </c>
      <c r="L409" t="s">
        <v>93</v>
      </c>
      <c r="M409">
        <v>203.513587702443</v>
      </c>
      <c r="N409">
        <v>14.827999999999999</v>
      </c>
    </row>
    <row r="410" spans="1:14" x14ac:dyDescent="0.3">
      <c r="A410">
        <v>7409</v>
      </c>
      <c r="B410">
        <v>37</v>
      </c>
      <c r="C410" s="1">
        <v>45400</v>
      </c>
      <c r="D410" t="s">
        <v>43</v>
      </c>
      <c r="E410">
        <v>31.73</v>
      </c>
      <c r="F410">
        <v>3</v>
      </c>
      <c r="G410">
        <v>0</v>
      </c>
      <c r="H410">
        <v>30.77</v>
      </c>
      <c r="I410" t="s">
        <v>80</v>
      </c>
      <c r="J410" t="s">
        <v>16</v>
      </c>
      <c r="K410" t="s">
        <v>17</v>
      </c>
      <c r="L410" t="s">
        <v>81</v>
      </c>
      <c r="M410">
        <v>96.974472108414744</v>
      </c>
      <c r="N410">
        <v>10.256666666666669</v>
      </c>
    </row>
    <row r="411" spans="1:14" x14ac:dyDescent="0.3">
      <c r="A411">
        <v>7410</v>
      </c>
      <c r="B411">
        <v>38</v>
      </c>
      <c r="C411" s="1">
        <v>45452</v>
      </c>
      <c r="D411" t="s">
        <v>43</v>
      </c>
      <c r="E411">
        <v>33.03</v>
      </c>
      <c r="F411">
        <v>4</v>
      </c>
      <c r="G411">
        <v>0</v>
      </c>
      <c r="H411">
        <v>52.58</v>
      </c>
      <c r="I411" t="s">
        <v>34</v>
      </c>
      <c r="J411" t="s">
        <v>16</v>
      </c>
      <c r="K411" t="s">
        <v>32</v>
      </c>
      <c r="L411" t="s">
        <v>35</v>
      </c>
      <c r="M411">
        <v>159.18861640932491</v>
      </c>
      <c r="N411">
        <v>13.145</v>
      </c>
    </row>
    <row r="412" spans="1:14" x14ac:dyDescent="0.3">
      <c r="A412">
        <v>7411</v>
      </c>
      <c r="B412">
        <v>58</v>
      </c>
      <c r="C412" s="1">
        <v>45542</v>
      </c>
      <c r="D412" t="s">
        <v>46</v>
      </c>
      <c r="E412">
        <v>101.41</v>
      </c>
      <c r="F412">
        <v>1</v>
      </c>
      <c r="G412">
        <v>0.1</v>
      </c>
      <c r="H412">
        <v>13.88</v>
      </c>
      <c r="I412" t="s">
        <v>155</v>
      </c>
      <c r="J412" t="s">
        <v>24</v>
      </c>
      <c r="K412" t="s">
        <v>17</v>
      </c>
      <c r="L412" t="s">
        <v>156</v>
      </c>
      <c r="M412">
        <v>13.687013115077409</v>
      </c>
      <c r="N412">
        <v>13.88</v>
      </c>
    </row>
    <row r="413" spans="1:14" x14ac:dyDescent="0.3">
      <c r="A413">
        <v>7412</v>
      </c>
      <c r="B413">
        <v>34</v>
      </c>
      <c r="C413" s="1">
        <v>45474</v>
      </c>
      <c r="D413" t="s">
        <v>26</v>
      </c>
      <c r="E413">
        <v>116.22</v>
      </c>
      <c r="F413">
        <v>7</v>
      </c>
      <c r="G413">
        <v>0.2</v>
      </c>
      <c r="H413">
        <v>268.70999999999998</v>
      </c>
      <c r="I413" t="s">
        <v>107</v>
      </c>
      <c r="J413" t="s">
        <v>20</v>
      </c>
      <c r="K413" t="s">
        <v>39</v>
      </c>
      <c r="L413" t="s">
        <v>108</v>
      </c>
      <c r="M413">
        <v>231.20805369127521</v>
      </c>
      <c r="N413">
        <v>38.387142857142862</v>
      </c>
    </row>
    <row r="414" spans="1:14" x14ac:dyDescent="0.3">
      <c r="A414">
        <v>7413</v>
      </c>
      <c r="B414">
        <v>48</v>
      </c>
      <c r="C414" s="1">
        <v>45401</v>
      </c>
      <c r="D414" t="s">
        <v>26</v>
      </c>
      <c r="E414">
        <v>76.95</v>
      </c>
      <c r="F414">
        <v>4</v>
      </c>
      <c r="G414">
        <v>0.1</v>
      </c>
      <c r="H414">
        <v>56.99</v>
      </c>
      <c r="I414" t="s">
        <v>86</v>
      </c>
      <c r="J414" t="s">
        <v>16</v>
      </c>
      <c r="K414" t="s">
        <v>39</v>
      </c>
      <c r="L414" t="s">
        <v>87</v>
      </c>
      <c r="M414">
        <v>74.061078622482128</v>
      </c>
      <c r="N414">
        <v>14.2475</v>
      </c>
    </row>
    <row r="415" spans="1:14" x14ac:dyDescent="0.3">
      <c r="A415">
        <v>7414</v>
      </c>
      <c r="B415">
        <v>57</v>
      </c>
      <c r="C415" s="1">
        <v>45594</v>
      </c>
      <c r="D415" t="s">
        <v>46</v>
      </c>
      <c r="E415">
        <v>102.27</v>
      </c>
      <c r="F415">
        <v>4</v>
      </c>
      <c r="G415">
        <v>0.05</v>
      </c>
      <c r="H415">
        <v>147.07</v>
      </c>
      <c r="I415" t="s">
        <v>90</v>
      </c>
      <c r="J415" t="s">
        <v>54</v>
      </c>
      <c r="K415" t="s">
        <v>39</v>
      </c>
      <c r="L415" t="s">
        <v>91</v>
      </c>
      <c r="M415">
        <v>143.8056125941136</v>
      </c>
      <c r="N415">
        <v>36.767499999999998</v>
      </c>
    </row>
    <row r="416" spans="1:14" x14ac:dyDescent="0.3">
      <c r="A416">
        <v>7415</v>
      </c>
      <c r="B416">
        <v>26</v>
      </c>
      <c r="C416" s="1">
        <v>45399</v>
      </c>
      <c r="D416" t="s">
        <v>22</v>
      </c>
      <c r="E416">
        <v>28.05</v>
      </c>
      <c r="F416">
        <v>7</v>
      </c>
      <c r="G416">
        <v>0.05</v>
      </c>
      <c r="H416">
        <v>59.93</v>
      </c>
      <c r="I416" t="s">
        <v>161</v>
      </c>
      <c r="J416" t="s">
        <v>31</v>
      </c>
      <c r="K416" t="s">
        <v>17</v>
      </c>
      <c r="L416" t="s">
        <v>162</v>
      </c>
      <c r="M416">
        <v>213.6541889483066</v>
      </c>
      <c r="N416">
        <v>8.5614285714285714</v>
      </c>
    </row>
    <row r="417" spans="1:14" x14ac:dyDescent="0.3">
      <c r="A417">
        <v>7416</v>
      </c>
      <c r="B417">
        <v>11</v>
      </c>
      <c r="C417" s="1">
        <v>45520</v>
      </c>
      <c r="D417" t="s">
        <v>14</v>
      </c>
      <c r="E417">
        <v>976.05</v>
      </c>
      <c r="F417">
        <v>6</v>
      </c>
      <c r="G417">
        <v>0</v>
      </c>
      <c r="H417">
        <v>1838.28</v>
      </c>
      <c r="I417" t="s">
        <v>124</v>
      </c>
      <c r="J417" t="s">
        <v>20</v>
      </c>
      <c r="K417" t="s">
        <v>32</v>
      </c>
      <c r="L417" t="s">
        <v>125</v>
      </c>
      <c r="M417">
        <v>188.33871215613959</v>
      </c>
      <c r="N417">
        <v>306.38</v>
      </c>
    </row>
    <row r="418" spans="1:14" x14ac:dyDescent="0.3">
      <c r="A418">
        <v>7417</v>
      </c>
      <c r="B418">
        <v>12</v>
      </c>
      <c r="C418" s="1">
        <v>45431</v>
      </c>
      <c r="D418" t="s">
        <v>26</v>
      </c>
      <c r="E418">
        <v>100.36</v>
      </c>
      <c r="F418">
        <v>6</v>
      </c>
      <c r="G418">
        <v>0.05</v>
      </c>
      <c r="H418">
        <v>198.2</v>
      </c>
      <c r="I418" t="s">
        <v>78</v>
      </c>
      <c r="J418" t="s">
        <v>64</v>
      </c>
      <c r="K418" t="s">
        <v>17</v>
      </c>
      <c r="L418" t="s">
        <v>79</v>
      </c>
      <c r="M418">
        <v>197.48903945795129</v>
      </c>
      <c r="N418">
        <v>33.033333333333331</v>
      </c>
    </row>
    <row r="419" spans="1:14" x14ac:dyDescent="0.3">
      <c r="A419">
        <v>7418</v>
      </c>
      <c r="B419">
        <v>58</v>
      </c>
      <c r="C419" s="1">
        <v>45635</v>
      </c>
      <c r="D419" t="s">
        <v>14</v>
      </c>
      <c r="E419">
        <v>415.55</v>
      </c>
      <c r="F419">
        <v>2</v>
      </c>
      <c r="G419">
        <v>0.1</v>
      </c>
      <c r="H419">
        <v>325.7</v>
      </c>
      <c r="I419" t="s">
        <v>155</v>
      </c>
      <c r="J419" t="s">
        <v>24</v>
      </c>
      <c r="K419" t="s">
        <v>17</v>
      </c>
      <c r="L419" t="s">
        <v>156</v>
      </c>
      <c r="M419">
        <v>78.378053182529172</v>
      </c>
      <c r="N419">
        <v>162.85</v>
      </c>
    </row>
    <row r="420" spans="1:14" x14ac:dyDescent="0.3">
      <c r="A420">
        <v>7419</v>
      </c>
      <c r="B420">
        <v>26</v>
      </c>
      <c r="C420" s="1">
        <v>45622</v>
      </c>
      <c r="D420" t="s">
        <v>22</v>
      </c>
      <c r="E420">
        <v>85.19</v>
      </c>
      <c r="F420">
        <v>1</v>
      </c>
      <c r="G420">
        <v>0.15</v>
      </c>
      <c r="H420">
        <v>24.58</v>
      </c>
      <c r="I420" t="s">
        <v>161</v>
      </c>
      <c r="J420" t="s">
        <v>31</v>
      </c>
      <c r="K420" t="s">
        <v>17</v>
      </c>
      <c r="L420" t="s">
        <v>162</v>
      </c>
      <c r="M420">
        <v>28.85315177837774</v>
      </c>
      <c r="N420">
        <v>24.58</v>
      </c>
    </row>
    <row r="421" spans="1:14" x14ac:dyDescent="0.3">
      <c r="A421">
        <v>7420</v>
      </c>
      <c r="B421">
        <v>67</v>
      </c>
      <c r="C421" s="1">
        <v>45416</v>
      </c>
      <c r="D421" t="s">
        <v>22</v>
      </c>
      <c r="E421">
        <v>119.21</v>
      </c>
      <c r="F421">
        <v>3</v>
      </c>
      <c r="G421">
        <v>0.05</v>
      </c>
      <c r="H421">
        <v>62.53</v>
      </c>
      <c r="I421" t="s">
        <v>99</v>
      </c>
      <c r="J421" t="s">
        <v>16</v>
      </c>
      <c r="K421" t="s">
        <v>39</v>
      </c>
      <c r="L421" t="s">
        <v>100</v>
      </c>
      <c r="M421">
        <v>52.453653217011997</v>
      </c>
      <c r="N421">
        <v>20.84333333333333</v>
      </c>
    </row>
    <row r="422" spans="1:14" x14ac:dyDescent="0.3">
      <c r="A422">
        <v>7421</v>
      </c>
      <c r="B422">
        <v>52</v>
      </c>
      <c r="C422" s="1">
        <v>45428</v>
      </c>
      <c r="D422" t="s">
        <v>43</v>
      </c>
      <c r="E422">
        <v>36.28</v>
      </c>
      <c r="F422">
        <v>6</v>
      </c>
      <c r="G422">
        <v>0.1</v>
      </c>
      <c r="H422">
        <v>53.27</v>
      </c>
      <c r="I422" t="s">
        <v>109</v>
      </c>
      <c r="J422" t="s">
        <v>24</v>
      </c>
      <c r="K422" t="s">
        <v>17</v>
      </c>
      <c r="L422" t="s">
        <v>110</v>
      </c>
      <c r="M422">
        <v>146.8302094818082</v>
      </c>
      <c r="N422">
        <v>8.8783333333333339</v>
      </c>
    </row>
    <row r="423" spans="1:14" x14ac:dyDescent="0.3">
      <c r="A423">
        <v>7422</v>
      </c>
      <c r="B423">
        <v>14</v>
      </c>
      <c r="C423" s="1">
        <v>45483</v>
      </c>
      <c r="D423" t="s">
        <v>43</v>
      </c>
      <c r="E423">
        <v>22.98</v>
      </c>
      <c r="F423">
        <v>7</v>
      </c>
      <c r="G423">
        <v>0.3</v>
      </c>
      <c r="H423">
        <v>45.79</v>
      </c>
      <c r="I423" t="s">
        <v>41</v>
      </c>
      <c r="J423" t="s">
        <v>24</v>
      </c>
      <c r="K423" t="s">
        <v>17</v>
      </c>
      <c r="L423" t="s">
        <v>42</v>
      </c>
      <c r="M423">
        <v>199.26022628372499</v>
      </c>
      <c r="N423">
        <v>6.5414285714285709</v>
      </c>
    </row>
    <row r="424" spans="1:14" x14ac:dyDescent="0.3">
      <c r="A424">
        <v>7423</v>
      </c>
      <c r="B424">
        <v>40</v>
      </c>
      <c r="C424" s="1">
        <v>45568</v>
      </c>
      <c r="D424" t="s">
        <v>46</v>
      </c>
      <c r="E424">
        <v>263.52999999999997</v>
      </c>
      <c r="F424">
        <v>3</v>
      </c>
      <c r="G424">
        <v>0</v>
      </c>
      <c r="H424">
        <v>318.43</v>
      </c>
      <c r="I424" t="s">
        <v>122</v>
      </c>
      <c r="J424" t="s">
        <v>54</v>
      </c>
      <c r="K424" t="s">
        <v>32</v>
      </c>
      <c r="L424" t="s">
        <v>123</v>
      </c>
      <c r="M424">
        <v>120.83254278450271</v>
      </c>
      <c r="N424">
        <v>106.1433333333333</v>
      </c>
    </row>
    <row r="425" spans="1:14" x14ac:dyDescent="0.3">
      <c r="A425">
        <v>7424</v>
      </c>
      <c r="B425">
        <v>21</v>
      </c>
      <c r="C425" s="1">
        <v>45345</v>
      </c>
      <c r="D425" t="s">
        <v>14</v>
      </c>
      <c r="E425">
        <v>157.21</v>
      </c>
      <c r="F425">
        <v>4</v>
      </c>
      <c r="G425">
        <v>0.15</v>
      </c>
      <c r="H425">
        <v>83.04</v>
      </c>
      <c r="I425" t="s">
        <v>97</v>
      </c>
      <c r="J425" t="s">
        <v>54</v>
      </c>
      <c r="K425" t="s">
        <v>17</v>
      </c>
      <c r="L425" t="s">
        <v>98</v>
      </c>
      <c r="M425">
        <v>52.821067362127103</v>
      </c>
      <c r="N425">
        <v>20.76</v>
      </c>
    </row>
    <row r="426" spans="1:14" x14ac:dyDescent="0.3">
      <c r="A426">
        <v>7425</v>
      </c>
      <c r="B426">
        <v>18</v>
      </c>
      <c r="C426" s="1">
        <v>45608</v>
      </c>
      <c r="D426" t="s">
        <v>46</v>
      </c>
      <c r="E426">
        <v>31.58</v>
      </c>
      <c r="F426">
        <v>7</v>
      </c>
      <c r="G426">
        <v>0.1</v>
      </c>
      <c r="H426">
        <v>73.7</v>
      </c>
      <c r="I426" t="s">
        <v>92</v>
      </c>
      <c r="J426" t="s">
        <v>20</v>
      </c>
      <c r="K426" t="s">
        <v>32</v>
      </c>
      <c r="L426" t="s">
        <v>93</v>
      </c>
      <c r="M426">
        <v>233.37555414819511</v>
      </c>
      <c r="N426">
        <v>10.52857142857143</v>
      </c>
    </row>
    <row r="427" spans="1:14" x14ac:dyDescent="0.3">
      <c r="A427">
        <v>7426</v>
      </c>
      <c r="B427">
        <v>26</v>
      </c>
      <c r="C427" s="1">
        <v>45596</v>
      </c>
      <c r="D427" t="s">
        <v>26</v>
      </c>
      <c r="E427">
        <v>26.24</v>
      </c>
      <c r="F427">
        <v>5</v>
      </c>
      <c r="G427">
        <v>0.15</v>
      </c>
      <c r="H427">
        <v>21.75</v>
      </c>
      <c r="I427" t="s">
        <v>161</v>
      </c>
      <c r="J427" t="s">
        <v>31</v>
      </c>
      <c r="K427" t="s">
        <v>17</v>
      </c>
      <c r="L427" t="s">
        <v>162</v>
      </c>
      <c r="M427">
        <v>82.888719512195124</v>
      </c>
      <c r="N427">
        <v>4.3499999999999996</v>
      </c>
    </row>
    <row r="428" spans="1:14" x14ac:dyDescent="0.3">
      <c r="A428">
        <v>7427</v>
      </c>
      <c r="B428">
        <v>28</v>
      </c>
      <c r="C428" s="1">
        <v>45615</v>
      </c>
      <c r="D428" t="s">
        <v>46</v>
      </c>
      <c r="E428">
        <v>95.62</v>
      </c>
      <c r="F428">
        <v>6</v>
      </c>
      <c r="G428">
        <v>0</v>
      </c>
      <c r="H428">
        <v>251.63</v>
      </c>
      <c r="I428" t="s">
        <v>76</v>
      </c>
      <c r="J428" t="s">
        <v>24</v>
      </c>
      <c r="K428" t="s">
        <v>32</v>
      </c>
      <c r="L428" t="s">
        <v>77</v>
      </c>
      <c r="M428">
        <v>263.1562434637105</v>
      </c>
      <c r="N428">
        <v>41.938333333333333</v>
      </c>
    </row>
    <row r="429" spans="1:14" x14ac:dyDescent="0.3">
      <c r="A429">
        <v>7428</v>
      </c>
      <c r="B429">
        <v>37</v>
      </c>
      <c r="C429" s="1">
        <v>45568</v>
      </c>
      <c r="D429" t="s">
        <v>22</v>
      </c>
      <c r="E429">
        <v>45.91</v>
      </c>
      <c r="F429">
        <v>7</v>
      </c>
      <c r="G429">
        <v>0</v>
      </c>
      <c r="H429">
        <v>89.9</v>
      </c>
      <c r="I429" t="s">
        <v>80</v>
      </c>
      <c r="J429" t="s">
        <v>16</v>
      </c>
      <c r="K429" t="s">
        <v>17</v>
      </c>
      <c r="L429" t="s">
        <v>81</v>
      </c>
      <c r="M429">
        <v>195.81790459594859</v>
      </c>
      <c r="N429">
        <v>12.84285714285714</v>
      </c>
    </row>
    <row r="430" spans="1:14" x14ac:dyDescent="0.3">
      <c r="A430">
        <v>7429</v>
      </c>
      <c r="B430">
        <v>68</v>
      </c>
      <c r="C430" s="1">
        <v>45348</v>
      </c>
      <c r="D430" t="s">
        <v>43</v>
      </c>
      <c r="E430">
        <v>18.98</v>
      </c>
      <c r="F430">
        <v>7</v>
      </c>
      <c r="G430">
        <v>0.15</v>
      </c>
      <c r="H430">
        <v>18.39</v>
      </c>
      <c r="I430" t="s">
        <v>74</v>
      </c>
      <c r="J430" t="s">
        <v>16</v>
      </c>
      <c r="K430" t="s">
        <v>17</v>
      </c>
      <c r="L430" t="s">
        <v>75</v>
      </c>
      <c r="M430">
        <v>96.89146469968388</v>
      </c>
      <c r="N430">
        <v>2.6271428571428568</v>
      </c>
    </row>
    <row r="431" spans="1:14" x14ac:dyDescent="0.3">
      <c r="A431">
        <v>7430</v>
      </c>
      <c r="B431">
        <v>41</v>
      </c>
      <c r="C431" s="1">
        <v>45405</v>
      </c>
      <c r="D431" t="s">
        <v>29</v>
      </c>
      <c r="E431">
        <v>96.98</v>
      </c>
      <c r="F431">
        <v>7</v>
      </c>
      <c r="G431">
        <v>0</v>
      </c>
      <c r="H431">
        <v>133.58000000000001</v>
      </c>
      <c r="I431" t="s">
        <v>120</v>
      </c>
      <c r="J431" t="s">
        <v>16</v>
      </c>
      <c r="K431" t="s">
        <v>32</v>
      </c>
      <c r="L431" t="s">
        <v>121</v>
      </c>
      <c r="M431">
        <v>137.73974015260879</v>
      </c>
      <c r="N431">
        <v>19.08285714285714</v>
      </c>
    </row>
    <row r="432" spans="1:14" x14ac:dyDescent="0.3">
      <c r="A432">
        <v>7431</v>
      </c>
      <c r="B432">
        <v>33</v>
      </c>
      <c r="C432" s="1">
        <v>45656</v>
      </c>
      <c r="D432" t="s">
        <v>29</v>
      </c>
      <c r="E432">
        <v>45.59</v>
      </c>
      <c r="F432">
        <v>7</v>
      </c>
      <c r="G432">
        <v>0</v>
      </c>
      <c r="H432">
        <v>72.91</v>
      </c>
      <c r="I432" t="s">
        <v>58</v>
      </c>
      <c r="J432" t="s">
        <v>24</v>
      </c>
      <c r="K432" t="s">
        <v>17</v>
      </c>
      <c r="L432" t="s">
        <v>40</v>
      </c>
      <c r="M432">
        <v>159.9254222417197</v>
      </c>
      <c r="N432">
        <v>10.415714285714291</v>
      </c>
    </row>
    <row r="433" spans="1:14" x14ac:dyDescent="0.3">
      <c r="A433">
        <v>7432</v>
      </c>
      <c r="B433">
        <v>21</v>
      </c>
      <c r="C433" s="1">
        <v>45386</v>
      </c>
      <c r="D433" t="s">
        <v>29</v>
      </c>
      <c r="E433">
        <v>282.42</v>
      </c>
      <c r="F433">
        <v>5</v>
      </c>
      <c r="G433">
        <v>0</v>
      </c>
      <c r="H433">
        <v>507.45</v>
      </c>
      <c r="I433" t="s">
        <v>97</v>
      </c>
      <c r="J433" t="s">
        <v>54</v>
      </c>
      <c r="K433" t="s">
        <v>17</v>
      </c>
      <c r="L433" t="s">
        <v>98</v>
      </c>
      <c r="M433">
        <v>179.67920118971739</v>
      </c>
      <c r="N433">
        <v>101.49</v>
      </c>
    </row>
    <row r="434" spans="1:14" x14ac:dyDescent="0.3">
      <c r="A434">
        <v>7433</v>
      </c>
      <c r="B434">
        <v>25</v>
      </c>
      <c r="C434" s="1">
        <v>45501</v>
      </c>
      <c r="D434" t="s">
        <v>26</v>
      </c>
      <c r="E434">
        <v>81.13</v>
      </c>
      <c r="F434">
        <v>2</v>
      </c>
      <c r="G434">
        <v>0</v>
      </c>
      <c r="H434">
        <v>66.319999999999993</v>
      </c>
      <c r="I434" t="s">
        <v>53</v>
      </c>
      <c r="J434" t="s">
        <v>54</v>
      </c>
      <c r="K434" t="s">
        <v>17</v>
      </c>
      <c r="L434" t="s">
        <v>55</v>
      </c>
      <c r="M434">
        <v>81.745346973992355</v>
      </c>
      <c r="N434">
        <v>33.159999999999997</v>
      </c>
    </row>
    <row r="435" spans="1:14" x14ac:dyDescent="0.3">
      <c r="A435">
        <v>7434</v>
      </c>
      <c r="B435">
        <v>5</v>
      </c>
      <c r="C435" s="1">
        <v>45592</v>
      </c>
      <c r="D435" t="s">
        <v>46</v>
      </c>
      <c r="E435">
        <v>198.83</v>
      </c>
      <c r="F435">
        <v>2</v>
      </c>
      <c r="G435">
        <v>0</v>
      </c>
      <c r="H435">
        <v>117.93</v>
      </c>
      <c r="I435" t="s">
        <v>105</v>
      </c>
      <c r="J435" t="s">
        <v>54</v>
      </c>
      <c r="K435" t="s">
        <v>17</v>
      </c>
      <c r="L435" t="s">
        <v>106</v>
      </c>
      <c r="M435">
        <v>59.311975054066288</v>
      </c>
      <c r="N435">
        <v>58.965000000000003</v>
      </c>
    </row>
    <row r="436" spans="1:14" x14ac:dyDescent="0.3">
      <c r="A436">
        <v>7435</v>
      </c>
      <c r="B436">
        <v>36</v>
      </c>
      <c r="C436" s="1">
        <v>45592</v>
      </c>
      <c r="D436" t="s">
        <v>14</v>
      </c>
      <c r="E436">
        <v>103.42</v>
      </c>
      <c r="F436">
        <v>7</v>
      </c>
      <c r="G436">
        <v>0.05</v>
      </c>
      <c r="H436">
        <v>1433.91</v>
      </c>
      <c r="I436" t="s">
        <v>68</v>
      </c>
      <c r="J436" t="s">
        <v>20</v>
      </c>
      <c r="K436" t="s">
        <v>32</v>
      </c>
      <c r="L436" t="s">
        <v>69</v>
      </c>
      <c r="M436">
        <v>1386.491974473023</v>
      </c>
      <c r="N436">
        <v>204.84428571428569</v>
      </c>
    </row>
    <row r="437" spans="1:14" x14ac:dyDescent="0.3">
      <c r="A437">
        <v>7436</v>
      </c>
      <c r="B437">
        <v>36</v>
      </c>
      <c r="C437" s="1">
        <v>45398</v>
      </c>
      <c r="D437" t="s">
        <v>22</v>
      </c>
      <c r="E437">
        <v>76.97</v>
      </c>
      <c r="F437">
        <v>7</v>
      </c>
      <c r="G437">
        <v>0.05</v>
      </c>
      <c r="H437">
        <v>198.95</v>
      </c>
      <c r="I437" t="s">
        <v>68</v>
      </c>
      <c r="J437" t="s">
        <v>20</v>
      </c>
      <c r="K437" t="s">
        <v>32</v>
      </c>
      <c r="L437" t="s">
        <v>69</v>
      </c>
      <c r="M437">
        <v>258.47732882941398</v>
      </c>
      <c r="N437">
        <v>28.421428571428571</v>
      </c>
    </row>
    <row r="438" spans="1:14" x14ac:dyDescent="0.3">
      <c r="A438">
        <v>7437</v>
      </c>
      <c r="B438">
        <v>34</v>
      </c>
      <c r="C438" s="1">
        <v>45481</v>
      </c>
      <c r="D438" t="s">
        <v>43</v>
      </c>
      <c r="E438">
        <v>35.36</v>
      </c>
      <c r="F438">
        <v>3</v>
      </c>
      <c r="G438">
        <v>0</v>
      </c>
      <c r="H438">
        <v>29.38</v>
      </c>
      <c r="I438" t="s">
        <v>107</v>
      </c>
      <c r="J438" t="s">
        <v>20</v>
      </c>
      <c r="K438" t="s">
        <v>39</v>
      </c>
      <c r="L438" t="s">
        <v>108</v>
      </c>
      <c r="M438">
        <v>83.088235294117638</v>
      </c>
      <c r="N438">
        <v>9.793333333333333</v>
      </c>
    </row>
    <row r="439" spans="1:14" x14ac:dyDescent="0.3">
      <c r="A439">
        <v>7438</v>
      </c>
      <c r="B439">
        <v>56</v>
      </c>
      <c r="C439" s="1">
        <v>45646</v>
      </c>
      <c r="D439" t="s">
        <v>14</v>
      </c>
      <c r="E439">
        <v>1137.5999999999999</v>
      </c>
      <c r="F439">
        <v>2</v>
      </c>
      <c r="G439">
        <v>0.05</v>
      </c>
      <c r="H439">
        <v>811.16</v>
      </c>
      <c r="I439" t="s">
        <v>159</v>
      </c>
      <c r="J439" t="s">
        <v>24</v>
      </c>
      <c r="K439" t="s">
        <v>17</v>
      </c>
      <c r="L439" t="s">
        <v>160</v>
      </c>
      <c r="M439">
        <v>71.304500703234879</v>
      </c>
      <c r="N439">
        <v>405.58</v>
      </c>
    </row>
    <row r="440" spans="1:14" x14ac:dyDescent="0.3">
      <c r="A440">
        <v>7439</v>
      </c>
      <c r="B440">
        <v>22</v>
      </c>
      <c r="C440" s="1">
        <v>45476</v>
      </c>
      <c r="D440" t="s">
        <v>26</v>
      </c>
      <c r="E440">
        <v>142.96</v>
      </c>
      <c r="F440">
        <v>7</v>
      </c>
      <c r="G440">
        <v>0.15</v>
      </c>
      <c r="H440">
        <v>156.57</v>
      </c>
      <c r="I440" t="s">
        <v>149</v>
      </c>
      <c r="J440" t="s">
        <v>64</v>
      </c>
      <c r="K440" t="s">
        <v>17</v>
      </c>
      <c r="L440" t="s">
        <v>150</v>
      </c>
      <c r="M440">
        <v>109.5201454952434</v>
      </c>
      <c r="N440">
        <v>22.367142857142859</v>
      </c>
    </row>
    <row r="441" spans="1:14" x14ac:dyDescent="0.3">
      <c r="A441">
        <v>7440</v>
      </c>
      <c r="B441">
        <v>11</v>
      </c>
      <c r="C441" s="1">
        <v>45573</v>
      </c>
      <c r="D441" t="s">
        <v>22</v>
      </c>
      <c r="E441">
        <v>30.56</v>
      </c>
      <c r="F441">
        <v>5</v>
      </c>
      <c r="G441">
        <v>0.1</v>
      </c>
      <c r="H441">
        <v>-30.16</v>
      </c>
      <c r="I441" t="s">
        <v>124</v>
      </c>
      <c r="J441" t="s">
        <v>20</v>
      </c>
      <c r="K441" t="s">
        <v>32</v>
      </c>
      <c r="L441" t="s">
        <v>125</v>
      </c>
      <c r="M441">
        <v>-98.691099476439788</v>
      </c>
      <c r="N441">
        <v>-6.032</v>
      </c>
    </row>
    <row r="442" spans="1:14" x14ac:dyDescent="0.3">
      <c r="A442">
        <v>7441</v>
      </c>
      <c r="B442">
        <v>29</v>
      </c>
      <c r="C442" s="1">
        <v>45540</v>
      </c>
      <c r="D442" t="s">
        <v>43</v>
      </c>
      <c r="E442">
        <v>14.38</v>
      </c>
      <c r="F442">
        <v>3</v>
      </c>
      <c r="G442">
        <v>0.05</v>
      </c>
      <c r="H442">
        <v>15.11</v>
      </c>
      <c r="I442" t="s">
        <v>61</v>
      </c>
      <c r="J442" t="s">
        <v>20</v>
      </c>
      <c r="K442" t="s">
        <v>39</v>
      </c>
      <c r="L442" t="s">
        <v>62</v>
      </c>
      <c r="M442">
        <v>105.076495132128</v>
      </c>
      <c r="N442">
        <v>5.0366666666666662</v>
      </c>
    </row>
    <row r="443" spans="1:14" x14ac:dyDescent="0.3">
      <c r="A443">
        <v>7442</v>
      </c>
      <c r="B443">
        <v>35</v>
      </c>
      <c r="C443" s="1">
        <v>45386</v>
      </c>
      <c r="D443" t="s">
        <v>26</v>
      </c>
      <c r="E443">
        <v>28.69</v>
      </c>
      <c r="F443">
        <v>2</v>
      </c>
      <c r="G443">
        <v>0</v>
      </c>
      <c r="H443">
        <v>11.62</v>
      </c>
      <c r="I443" t="s">
        <v>127</v>
      </c>
      <c r="J443" t="s">
        <v>20</v>
      </c>
      <c r="K443" t="s">
        <v>32</v>
      </c>
      <c r="L443" t="s">
        <v>128</v>
      </c>
      <c r="M443">
        <v>40.501917044266293</v>
      </c>
      <c r="N443">
        <v>5.81</v>
      </c>
    </row>
    <row r="444" spans="1:14" x14ac:dyDescent="0.3">
      <c r="A444">
        <v>7443</v>
      </c>
      <c r="B444">
        <v>41</v>
      </c>
      <c r="C444" s="1">
        <v>45421</v>
      </c>
      <c r="D444" t="s">
        <v>29</v>
      </c>
      <c r="E444">
        <v>46.41</v>
      </c>
      <c r="F444">
        <v>3</v>
      </c>
      <c r="G444">
        <v>0.05</v>
      </c>
      <c r="H444">
        <v>33.119999999999997</v>
      </c>
      <c r="I444" t="s">
        <v>120</v>
      </c>
      <c r="J444" t="s">
        <v>16</v>
      </c>
      <c r="K444" t="s">
        <v>32</v>
      </c>
      <c r="L444" t="s">
        <v>121</v>
      </c>
      <c r="M444">
        <v>71.363930187459601</v>
      </c>
      <c r="N444">
        <v>11.04</v>
      </c>
    </row>
    <row r="445" spans="1:14" x14ac:dyDescent="0.3">
      <c r="A445">
        <v>7444</v>
      </c>
      <c r="B445">
        <v>2</v>
      </c>
      <c r="C445" s="1">
        <v>45495</v>
      </c>
      <c r="D445" t="s">
        <v>22</v>
      </c>
      <c r="E445">
        <v>20.88</v>
      </c>
      <c r="F445">
        <v>7</v>
      </c>
      <c r="G445">
        <v>0</v>
      </c>
      <c r="H445">
        <v>41.63</v>
      </c>
      <c r="I445" t="s">
        <v>151</v>
      </c>
      <c r="J445" t="s">
        <v>20</v>
      </c>
      <c r="K445" t="s">
        <v>17</v>
      </c>
      <c r="L445" t="s">
        <v>152</v>
      </c>
      <c r="M445">
        <v>199.37739463601531</v>
      </c>
      <c r="N445">
        <v>5.9471428571428584</v>
      </c>
    </row>
    <row r="446" spans="1:14" x14ac:dyDescent="0.3">
      <c r="A446">
        <v>7445</v>
      </c>
      <c r="B446">
        <v>2</v>
      </c>
      <c r="C446" s="1">
        <v>45536</v>
      </c>
      <c r="D446" t="s">
        <v>14</v>
      </c>
      <c r="E446">
        <v>323.77</v>
      </c>
      <c r="F446">
        <v>5</v>
      </c>
      <c r="G446">
        <v>0</v>
      </c>
      <c r="H446">
        <v>257.41000000000003</v>
      </c>
      <c r="I446" t="s">
        <v>151</v>
      </c>
      <c r="J446" t="s">
        <v>20</v>
      </c>
      <c r="K446" t="s">
        <v>17</v>
      </c>
      <c r="L446" t="s">
        <v>152</v>
      </c>
      <c r="M446">
        <v>79.503968866788171</v>
      </c>
      <c r="N446">
        <v>51.482000000000014</v>
      </c>
    </row>
    <row r="447" spans="1:14" x14ac:dyDescent="0.3">
      <c r="A447">
        <v>7446</v>
      </c>
      <c r="B447">
        <v>35</v>
      </c>
      <c r="C447" s="1">
        <v>45575</v>
      </c>
      <c r="D447" t="s">
        <v>46</v>
      </c>
      <c r="E447">
        <v>187.12</v>
      </c>
      <c r="F447">
        <v>5</v>
      </c>
      <c r="G447">
        <v>0.2</v>
      </c>
      <c r="H447">
        <v>259.66000000000003</v>
      </c>
      <c r="I447" t="s">
        <v>127</v>
      </c>
      <c r="J447" t="s">
        <v>20</v>
      </c>
      <c r="K447" t="s">
        <v>32</v>
      </c>
      <c r="L447" t="s">
        <v>128</v>
      </c>
      <c r="M447">
        <v>138.76656690893549</v>
      </c>
      <c r="N447">
        <v>51.932000000000002</v>
      </c>
    </row>
    <row r="448" spans="1:14" x14ac:dyDescent="0.3">
      <c r="A448">
        <v>7447</v>
      </c>
      <c r="B448">
        <v>64</v>
      </c>
      <c r="C448" s="1">
        <v>45352</v>
      </c>
      <c r="D448" t="s">
        <v>43</v>
      </c>
      <c r="E448">
        <v>18.41</v>
      </c>
      <c r="F448">
        <v>5</v>
      </c>
      <c r="G448">
        <v>0</v>
      </c>
      <c r="H448">
        <v>23.99</v>
      </c>
      <c r="I448" t="s">
        <v>51</v>
      </c>
      <c r="J448" t="s">
        <v>24</v>
      </c>
      <c r="K448" t="s">
        <v>32</v>
      </c>
      <c r="L448" t="s">
        <v>52</v>
      </c>
      <c r="M448">
        <v>130.3096143400326</v>
      </c>
      <c r="N448">
        <v>4.798</v>
      </c>
    </row>
    <row r="449" spans="1:14" x14ac:dyDescent="0.3">
      <c r="A449">
        <v>7448</v>
      </c>
      <c r="B449">
        <v>6</v>
      </c>
      <c r="C449" s="1">
        <v>45560</v>
      </c>
      <c r="D449" t="s">
        <v>22</v>
      </c>
      <c r="E449">
        <v>41.57</v>
      </c>
      <c r="F449">
        <v>5</v>
      </c>
      <c r="G449">
        <v>0.1</v>
      </c>
      <c r="H449">
        <v>45.8</v>
      </c>
      <c r="I449" t="s">
        <v>138</v>
      </c>
      <c r="J449" t="s">
        <v>20</v>
      </c>
      <c r="K449" t="s">
        <v>17</v>
      </c>
      <c r="L449" t="s">
        <v>139</v>
      </c>
      <c r="M449">
        <v>110.1756074091893</v>
      </c>
      <c r="N449">
        <v>9.16</v>
      </c>
    </row>
    <row r="450" spans="1:14" x14ac:dyDescent="0.3">
      <c r="A450">
        <v>7449</v>
      </c>
      <c r="B450">
        <v>10</v>
      </c>
      <c r="C450" s="1">
        <v>45363</v>
      </c>
      <c r="D450" t="s">
        <v>26</v>
      </c>
      <c r="E450">
        <v>55.95</v>
      </c>
      <c r="F450">
        <v>4</v>
      </c>
      <c r="G450">
        <v>0</v>
      </c>
      <c r="H450">
        <v>54.02</v>
      </c>
      <c r="I450" t="s">
        <v>23</v>
      </c>
      <c r="J450" t="s">
        <v>24</v>
      </c>
      <c r="K450" t="s">
        <v>17</v>
      </c>
      <c r="L450" t="s">
        <v>25</v>
      </c>
      <c r="M450">
        <v>96.550491510277041</v>
      </c>
      <c r="N450">
        <v>13.505000000000001</v>
      </c>
    </row>
    <row r="451" spans="1:14" x14ac:dyDescent="0.3">
      <c r="A451">
        <v>7450</v>
      </c>
      <c r="B451">
        <v>39</v>
      </c>
      <c r="C451" s="1">
        <v>45518</v>
      </c>
      <c r="D451" t="s">
        <v>14</v>
      </c>
      <c r="E451">
        <v>457.41</v>
      </c>
      <c r="F451">
        <v>3</v>
      </c>
      <c r="G451">
        <v>0.05</v>
      </c>
      <c r="H451">
        <v>463.75</v>
      </c>
      <c r="I451" t="s">
        <v>15</v>
      </c>
      <c r="J451" t="s">
        <v>16</v>
      </c>
      <c r="K451" t="s">
        <v>17</v>
      </c>
      <c r="L451" t="s">
        <v>18</v>
      </c>
      <c r="M451">
        <v>101.386065018255</v>
      </c>
      <c r="N451">
        <v>154.58333333333329</v>
      </c>
    </row>
    <row r="452" spans="1:14" x14ac:dyDescent="0.3">
      <c r="A452">
        <v>7451</v>
      </c>
      <c r="B452">
        <v>27</v>
      </c>
      <c r="C452" s="1">
        <v>45344</v>
      </c>
      <c r="D452" t="s">
        <v>26</v>
      </c>
      <c r="E452">
        <v>56</v>
      </c>
      <c r="F452">
        <v>7</v>
      </c>
      <c r="G452">
        <v>0.15</v>
      </c>
      <c r="H452">
        <v>102.17</v>
      </c>
      <c r="I452" t="s">
        <v>126</v>
      </c>
      <c r="J452" t="s">
        <v>20</v>
      </c>
      <c r="K452" t="s">
        <v>64</v>
      </c>
      <c r="L452" t="s">
        <v>100</v>
      </c>
      <c r="M452">
        <v>182.44642857142861</v>
      </c>
      <c r="N452">
        <v>14.595714285714291</v>
      </c>
    </row>
    <row r="453" spans="1:14" x14ac:dyDescent="0.3">
      <c r="A453">
        <v>7452</v>
      </c>
      <c r="B453">
        <v>31</v>
      </c>
      <c r="C453" s="1">
        <v>45335</v>
      </c>
      <c r="D453" t="s">
        <v>29</v>
      </c>
      <c r="E453">
        <v>96.54</v>
      </c>
      <c r="F453">
        <v>6</v>
      </c>
      <c r="G453">
        <v>0.1</v>
      </c>
      <c r="H453">
        <v>115.64</v>
      </c>
      <c r="I453" t="s">
        <v>82</v>
      </c>
      <c r="J453" t="s">
        <v>54</v>
      </c>
      <c r="K453" t="s">
        <v>32</v>
      </c>
      <c r="L453" t="s">
        <v>83</v>
      </c>
      <c r="M453">
        <v>119.7845452662109</v>
      </c>
      <c r="N453">
        <v>19.27333333333333</v>
      </c>
    </row>
    <row r="454" spans="1:14" x14ac:dyDescent="0.3">
      <c r="A454">
        <v>7453</v>
      </c>
      <c r="B454">
        <v>51</v>
      </c>
      <c r="C454" s="1">
        <v>45622</v>
      </c>
      <c r="D454" t="s">
        <v>14</v>
      </c>
      <c r="E454">
        <v>415.12</v>
      </c>
      <c r="F454">
        <v>1</v>
      </c>
      <c r="G454">
        <v>0.15</v>
      </c>
      <c r="H454">
        <v>65.86</v>
      </c>
      <c r="I454" t="s">
        <v>27</v>
      </c>
      <c r="J454" t="s">
        <v>16</v>
      </c>
      <c r="K454" t="s">
        <v>17</v>
      </c>
      <c r="L454" t="s">
        <v>28</v>
      </c>
      <c r="M454">
        <v>15.86529196376951</v>
      </c>
      <c r="N454">
        <v>65.86</v>
      </c>
    </row>
    <row r="455" spans="1:14" x14ac:dyDescent="0.3">
      <c r="A455">
        <v>7454</v>
      </c>
      <c r="B455">
        <v>35</v>
      </c>
      <c r="C455" s="1">
        <v>45552</v>
      </c>
      <c r="D455" t="s">
        <v>43</v>
      </c>
      <c r="E455">
        <v>44.46</v>
      </c>
      <c r="F455">
        <v>2</v>
      </c>
      <c r="G455">
        <v>0.15</v>
      </c>
      <c r="H455">
        <v>15.63</v>
      </c>
      <c r="I455" t="s">
        <v>127</v>
      </c>
      <c r="J455" t="s">
        <v>20</v>
      </c>
      <c r="K455" t="s">
        <v>32</v>
      </c>
      <c r="L455" t="s">
        <v>128</v>
      </c>
      <c r="M455">
        <v>35.155195681511472</v>
      </c>
      <c r="N455">
        <v>7.8150000000000004</v>
      </c>
    </row>
    <row r="456" spans="1:14" x14ac:dyDescent="0.3">
      <c r="A456">
        <v>7455</v>
      </c>
      <c r="B456">
        <v>8</v>
      </c>
      <c r="C456" s="1">
        <v>45643</v>
      </c>
      <c r="D456" t="s">
        <v>14</v>
      </c>
      <c r="E456">
        <v>508.06</v>
      </c>
      <c r="F456">
        <v>4</v>
      </c>
      <c r="G456">
        <v>0.1</v>
      </c>
      <c r="H456">
        <v>522.44000000000005</v>
      </c>
      <c r="I456" t="s">
        <v>116</v>
      </c>
      <c r="J456" t="s">
        <v>31</v>
      </c>
      <c r="K456" t="s">
        <v>17</v>
      </c>
      <c r="L456" t="s">
        <v>117</v>
      </c>
      <c r="M456">
        <v>102.8303743652325</v>
      </c>
      <c r="N456">
        <v>130.61000000000001</v>
      </c>
    </row>
    <row r="457" spans="1:14" x14ac:dyDescent="0.3">
      <c r="A457">
        <v>7456</v>
      </c>
      <c r="B457">
        <v>14</v>
      </c>
      <c r="C457" s="1">
        <v>45304</v>
      </c>
      <c r="D457" t="s">
        <v>14</v>
      </c>
      <c r="E457">
        <v>603.65</v>
      </c>
      <c r="F457">
        <v>3</v>
      </c>
      <c r="G457">
        <v>0</v>
      </c>
      <c r="H457">
        <v>557.04999999999995</v>
      </c>
      <c r="I457" t="s">
        <v>41</v>
      </c>
      <c r="J457" t="s">
        <v>24</v>
      </c>
      <c r="K457" t="s">
        <v>17</v>
      </c>
      <c r="L457" t="s">
        <v>42</v>
      </c>
      <c r="M457">
        <v>92.280294872856786</v>
      </c>
      <c r="N457">
        <v>185.68333333333331</v>
      </c>
    </row>
    <row r="458" spans="1:14" x14ac:dyDescent="0.3">
      <c r="A458">
        <v>7457</v>
      </c>
      <c r="B458">
        <v>37</v>
      </c>
      <c r="C458" s="1">
        <v>45490</v>
      </c>
      <c r="D458" t="s">
        <v>29</v>
      </c>
      <c r="E458">
        <v>272.26</v>
      </c>
      <c r="F458">
        <v>7</v>
      </c>
      <c r="G458">
        <v>0</v>
      </c>
      <c r="H458">
        <v>-803.1</v>
      </c>
      <c r="I458" t="s">
        <v>80</v>
      </c>
      <c r="J458" t="s">
        <v>16</v>
      </c>
      <c r="K458" t="s">
        <v>17</v>
      </c>
      <c r="L458" t="s">
        <v>81</v>
      </c>
      <c r="M458">
        <v>-294.97539117020489</v>
      </c>
      <c r="N458">
        <v>-114.7285714285714</v>
      </c>
    </row>
    <row r="459" spans="1:14" x14ac:dyDescent="0.3">
      <c r="A459">
        <v>7458</v>
      </c>
      <c r="B459">
        <v>41</v>
      </c>
      <c r="C459" s="1">
        <v>45399</v>
      </c>
      <c r="D459" t="s">
        <v>43</v>
      </c>
      <c r="E459">
        <v>33.74</v>
      </c>
      <c r="F459">
        <v>4</v>
      </c>
      <c r="G459">
        <v>0.05</v>
      </c>
      <c r="H459">
        <v>31.33</v>
      </c>
      <c r="I459" t="s">
        <v>120</v>
      </c>
      <c r="J459" t="s">
        <v>16</v>
      </c>
      <c r="K459" t="s">
        <v>32</v>
      </c>
      <c r="L459" t="s">
        <v>121</v>
      </c>
      <c r="M459">
        <v>92.857142857142847</v>
      </c>
      <c r="N459">
        <v>7.8324999999999996</v>
      </c>
    </row>
    <row r="460" spans="1:14" x14ac:dyDescent="0.3">
      <c r="A460">
        <v>7459</v>
      </c>
      <c r="B460">
        <v>36</v>
      </c>
      <c r="C460" s="1">
        <v>45445</v>
      </c>
      <c r="D460" t="s">
        <v>29</v>
      </c>
      <c r="E460">
        <v>73.95</v>
      </c>
      <c r="F460">
        <v>5</v>
      </c>
      <c r="G460">
        <v>0</v>
      </c>
      <c r="H460">
        <v>89.94</v>
      </c>
      <c r="I460" t="s">
        <v>68</v>
      </c>
      <c r="J460" t="s">
        <v>20</v>
      </c>
      <c r="K460" t="s">
        <v>32</v>
      </c>
      <c r="L460" t="s">
        <v>69</v>
      </c>
      <c r="M460">
        <v>121.62271805273831</v>
      </c>
      <c r="N460">
        <v>17.988</v>
      </c>
    </row>
    <row r="461" spans="1:14" x14ac:dyDescent="0.3">
      <c r="A461">
        <v>7460</v>
      </c>
      <c r="B461">
        <v>57</v>
      </c>
      <c r="C461" s="1">
        <v>45541</v>
      </c>
      <c r="D461" t="s">
        <v>26</v>
      </c>
      <c r="E461">
        <v>17.39</v>
      </c>
      <c r="F461">
        <v>2</v>
      </c>
      <c r="G461">
        <v>0</v>
      </c>
      <c r="H461">
        <v>13.51</v>
      </c>
      <c r="I461" t="s">
        <v>90</v>
      </c>
      <c r="J461" t="s">
        <v>54</v>
      </c>
      <c r="K461" t="s">
        <v>39</v>
      </c>
      <c r="L461" t="s">
        <v>91</v>
      </c>
      <c r="M461">
        <v>77.688326624496824</v>
      </c>
      <c r="N461">
        <v>6.7549999999999999</v>
      </c>
    </row>
    <row r="462" spans="1:14" x14ac:dyDescent="0.3">
      <c r="A462">
        <v>7461</v>
      </c>
      <c r="B462">
        <v>31</v>
      </c>
      <c r="C462" s="1">
        <v>45309</v>
      </c>
      <c r="D462" t="s">
        <v>46</v>
      </c>
      <c r="E462">
        <v>280.62</v>
      </c>
      <c r="F462">
        <v>3</v>
      </c>
      <c r="G462">
        <v>0</v>
      </c>
      <c r="H462">
        <v>188.01</v>
      </c>
      <c r="I462" t="s">
        <v>82</v>
      </c>
      <c r="J462" t="s">
        <v>54</v>
      </c>
      <c r="K462" t="s">
        <v>32</v>
      </c>
      <c r="L462" t="s">
        <v>83</v>
      </c>
      <c r="M462">
        <v>66.998075689544578</v>
      </c>
      <c r="N462">
        <v>62.669999999999987</v>
      </c>
    </row>
    <row r="463" spans="1:14" x14ac:dyDescent="0.3">
      <c r="A463">
        <v>7462</v>
      </c>
      <c r="B463">
        <v>67</v>
      </c>
      <c r="C463" s="1">
        <v>45378</v>
      </c>
      <c r="D463" t="s">
        <v>29</v>
      </c>
      <c r="E463">
        <v>178.49</v>
      </c>
      <c r="F463">
        <v>2</v>
      </c>
      <c r="G463">
        <v>0.15</v>
      </c>
      <c r="H463">
        <v>77.31</v>
      </c>
      <c r="I463" t="s">
        <v>99</v>
      </c>
      <c r="J463" t="s">
        <v>16</v>
      </c>
      <c r="K463" t="s">
        <v>39</v>
      </c>
      <c r="L463" t="s">
        <v>100</v>
      </c>
      <c r="M463">
        <v>43.313350888004933</v>
      </c>
      <c r="N463">
        <v>38.655000000000001</v>
      </c>
    </row>
    <row r="464" spans="1:14" x14ac:dyDescent="0.3">
      <c r="A464">
        <v>7463</v>
      </c>
      <c r="B464">
        <v>4</v>
      </c>
      <c r="C464" s="1">
        <v>45311</v>
      </c>
      <c r="D464" t="s">
        <v>29</v>
      </c>
      <c r="E464">
        <v>267.82</v>
      </c>
      <c r="F464">
        <v>4</v>
      </c>
      <c r="G464">
        <v>0</v>
      </c>
      <c r="H464">
        <v>-507.08</v>
      </c>
      <c r="I464" t="s">
        <v>140</v>
      </c>
      <c r="J464" t="s">
        <v>20</v>
      </c>
      <c r="K464" t="s">
        <v>17</v>
      </c>
      <c r="L464" t="s">
        <v>141</v>
      </c>
      <c r="M464">
        <v>-189.33612127548349</v>
      </c>
      <c r="N464">
        <v>-126.77</v>
      </c>
    </row>
    <row r="465" spans="1:14" x14ac:dyDescent="0.3">
      <c r="A465">
        <v>7464</v>
      </c>
      <c r="B465">
        <v>70</v>
      </c>
      <c r="C465" s="1">
        <v>45430</v>
      </c>
      <c r="D465" t="s">
        <v>26</v>
      </c>
      <c r="E465">
        <v>41.81</v>
      </c>
      <c r="F465">
        <v>6</v>
      </c>
      <c r="G465">
        <v>0.05</v>
      </c>
      <c r="H465">
        <v>94.87</v>
      </c>
      <c r="I465" t="s">
        <v>142</v>
      </c>
      <c r="J465" t="s">
        <v>24</v>
      </c>
      <c r="K465" t="s">
        <v>17</v>
      </c>
      <c r="L465" t="s">
        <v>143</v>
      </c>
      <c r="M465">
        <v>226.90743841186321</v>
      </c>
      <c r="N465">
        <v>15.811666666666669</v>
      </c>
    </row>
    <row r="466" spans="1:14" x14ac:dyDescent="0.3">
      <c r="A466">
        <v>7465</v>
      </c>
      <c r="B466">
        <v>37</v>
      </c>
      <c r="C466" s="1">
        <v>45541</v>
      </c>
      <c r="D466" t="s">
        <v>14</v>
      </c>
      <c r="E466">
        <v>792.37</v>
      </c>
      <c r="F466">
        <v>1</v>
      </c>
      <c r="G466">
        <v>0</v>
      </c>
      <c r="H466">
        <v>240.68</v>
      </c>
      <c r="I466" t="s">
        <v>80</v>
      </c>
      <c r="J466" t="s">
        <v>16</v>
      </c>
      <c r="K466" t="s">
        <v>17</v>
      </c>
      <c r="L466" t="s">
        <v>81</v>
      </c>
      <c r="M466">
        <v>30.374698688743891</v>
      </c>
      <c r="N466">
        <v>240.68</v>
      </c>
    </row>
    <row r="467" spans="1:14" x14ac:dyDescent="0.3">
      <c r="A467">
        <v>7466</v>
      </c>
      <c r="B467">
        <v>31</v>
      </c>
      <c r="C467" s="1">
        <v>45396</v>
      </c>
      <c r="D467" t="s">
        <v>26</v>
      </c>
      <c r="E467">
        <v>100.73</v>
      </c>
      <c r="F467">
        <v>2</v>
      </c>
      <c r="G467">
        <v>0.1</v>
      </c>
      <c r="H467">
        <v>38.53</v>
      </c>
      <c r="I467" t="s">
        <v>82</v>
      </c>
      <c r="J467" t="s">
        <v>54</v>
      </c>
      <c r="K467" t="s">
        <v>32</v>
      </c>
      <c r="L467" t="s">
        <v>83</v>
      </c>
      <c r="M467">
        <v>38.25076938350044</v>
      </c>
      <c r="N467">
        <v>19.265000000000001</v>
      </c>
    </row>
    <row r="468" spans="1:14" x14ac:dyDescent="0.3">
      <c r="A468">
        <v>7467</v>
      </c>
      <c r="B468">
        <v>55</v>
      </c>
      <c r="C468" s="1">
        <v>45590</v>
      </c>
      <c r="D468" t="s">
        <v>29</v>
      </c>
      <c r="E468">
        <v>289.41000000000003</v>
      </c>
      <c r="F468">
        <v>6</v>
      </c>
      <c r="G468">
        <v>0</v>
      </c>
      <c r="H468">
        <v>378.81</v>
      </c>
      <c r="I468" t="s">
        <v>133</v>
      </c>
      <c r="J468" t="s">
        <v>64</v>
      </c>
      <c r="K468" t="s">
        <v>64</v>
      </c>
      <c r="L468" t="s">
        <v>134</v>
      </c>
      <c r="M468">
        <v>130.89043225873331</v>
      </c>
      <c r="N468">
        <v>63.134999999999998</v>
      </c>
    </row>
    <row r="469" spans="1:14" x14ac:dyDescent="0.3">
      <c r="A469">
        <v>7468</v>
      </c>
      <c r="B469">
        <v>11</v>
      </c>
      <c r="C469" s="1">
        <v>45600</v>
      </c>
      <c r="D469" t="s">
        <v>22</v>
      </c>
      <c r="E469">
        <v>57.49</v>
      </c>
      <c r="F469">
        <v>5</v>
      </c>
      <c r="G469">
        <v>0</v>
      </c>
      <c r="H469">
        <v>74.23</v>
      </c>
      <c r="I469" t="s">
        <v>124</v>
      </c>
      <c r="J469" t="s">
        <v>20</v>
      </c>
      <c r="K469" t="s">
        <v>32</v>
      </c>
      <c r="L469" t="s">
        <v>125</v>
      </c>
      <c r="M469">
        <v>129.11810749695599</v>
      </c>
      <c r="N469">
        <v>14.846</v>
      </c>
    </row>
    <row r="470" spans="1:14" x14ac:dyDescent="0.3">
      <c r="A470">
        <v>7469</v>
      </c>
      <c r="B470">
        <v>61</v>
      </c>
      <c r="C470" s="1">
        <v>45586</v>
      </c>
      <c r="D470" t="s">
        <v>43</v>
      </c>
      <c r="E470">
        <v>15.2</v>
      </c>
      <c r="F470">
        <v>4</v>
      </c>
      <c r="G470">
        <v>0.1</v>
      </c>
      <c r="H470">
        <v>19.48</v>
      </c>
      <c r="I470" t="s">
        <v>129</v>
      </c>
      <c r="J470" t="s">
        <v>24</v>
      </c>
      <c r="K470" t="s">
        <v>32</v>
      </c>
      <c r="L470" t="s">
        <v>130</v>
      </c>
      <c r="M470">
        <v>128.15789473684211</v>
      </c>
      <c r="N470">
        <v>4.87</v>
      </c>
    </row>
    <row r="471" spans="1:14" x14ac:dyDescent="0.3">
      <c r="A471">
        <v>7470</v>
      </c>
      <c r="B471">
        <v>58</v>
      </c>
      <c r="C471" s="1">
        <v>45397</v>
      </c>
      <c r="D471" t="s">
        <v>22</v>
      </c>
      <c r="E471">
        <v>59.3</v>
      </c>
      <c r="F471">
        <v>4</v>
      </c>
      <c r="G471">
        <v>0.05</v>
      </c>
      <c r="H471">
        <v>40</v>
      </c>
      <c r="I471" t="s">
        <v>155</v>
      </c>
      <c r="J471" t="s">
        <v>24</v>
      </c>
      <c r="K471" t="s">
        <v>17</v>
      </c>
      <c r="L471" t="s">
        <v>156</v>
      </c>
      <c r="M471">
        <v>67.453625632377751</v>
      </c>
      <c r="N471">
        <v>10</v>
      </c>
    </row>
    <row r="472" spans="1:14" x14ac:dyDescent="0.3">
      <c r="A472">
        <v>7471</v>
      </c>
      <c r="B472">
        <v>67</v>
      </c>
      <c r="C472" s="1">
        <v>45606</v>
      </c>
      <c r="D472" t="s">
        <v>43</v>
      </c>
      <c r="E472">
        <v>58.84</v>
      </c>
      <c r="F472">
        <v>6</v>
      </c>
      <c r="G472">
        <v>0.1</v>
      </c>
      <c r="H472">
        <v>51.21</v>
      </c>
      <c r="I472" t="s">
        <v>99</v>
      </c>
      <c r="J472" t="s">
        <v>16</v>
      </c>
      <c r="K472" t="s">
        <v>39</v>
      </c>
      <c r="L472" t="s">
        <v>100</v>
      </c>
      <c r="M472">
        <v>87.03263086335825</v>
      </c>
      <c r="N472">
        <v>8.5350000000000001</v>
      </c>
    </row>
    <row r="473" spans="1:14" x14ac:dyDescent="0.3">
      <c r="A473">
        <v>7472</v>
      </c>
      <c r="B473">
        <v>11</v>
      </c>
      <c r="C473" s="1">
        <v>45432</v>
      </c>
      <c r="D473" t="s">
        <v>46</v>
      </c>
      <c r="E473">
        <v>181.75</v>
      </c>
      <c r="F473">
        <v>3</v>
      </c>
      <c r="G473">
        <v>0.1</v>
      </c>
      <c r="H473">
        <v>161.32</v>
      </c>
      <c r="I473" t="s">
        <v>124</v>
      </c>
      <c r="J473" t="s">
        <v>20</v>
      </c>
      <c r="K473" t="s">
        <v>32</v>
      </c>
      <c r="L473" t="s">
        <v>125</v>
      </c>
      <c r="M473">
        <v>88.759284731774414</v>
      </c>
      <c r="N473">
        <v>53.773333333333333</v>
      </c>
    </row>
    <row r="474" spans="1:14" x14ac:dyDescent="0.3">
      <c r="A474">
        <v>7473</v>
      </c>
      <c r="B474">
        <v>1</v>
      </c>
      <c r="C474" s="1">
        <v>45393</v>
      </c>
      <c r="D474" t="s">
        <v>29</v>
      </c>
      <c r="E474">
        <v>261.36</v>
      </c>
      <c r="F474">
        <v>4</v>
      </c>
      <c r="G474">
        <v>0.05</v>
      </c>
      <c r="H474">
        <v>182.68</v>
      </c>
      <c r="I474" t="s">
        <v>56</v>
      </c>
      <c r="J474" t="s">
        <v>31</v>
      </c>
      <c r="K474" t="s">
        <v>32</v>
      </c>
      <c r="L474" t="s">
        <v>57</v>
      </c>
      <c r="M474">
        <v>69.895928986838072</v>
      </c>
      <c r="N474">
        <v>45.67</v>
      </c>
    </row>
    <row r="475" spans="1:14" x14ac:dyDescent="0.3">
      <c r="A475">
        <v>7474</v>
      </c>
      <c r="B475">
        <v>26</v>
      </c>
      <c r="C475" s="1">
        <v>45301</v>
      </c>
      <c r="D475" t="s">
        <v>43</v>
      </c>
      <c r="E475">
        <v>52.39</v>
      </c>
      <c r="F475">
        <v>7</v>
      </c>
      <c r="G475">
        <v>0.05</v>
      </c>
      <c r="H475">
        <v>53.54</v>
      </c>
      <c r="I475" t="s">
        <v>161</v>
      </c>
      <c r="J475" t="s">
        <v>31</v>
      </c>
      <c r="K475" t="s">
        <v>17</v>
      </c>
      <c r="L475" t="s">
        <v>162</v>
      </c>
      <c r="M475">
        <v>102.19507539606801</v>
      </c>
      <c r="N475">
        <v>7.6485714285714286</v>
      </c>
    </row>
    <row r="476" spans="1:14" x14ac:dyDescent="0.3">
      <c r="A476">
        <v>7475</v>
      </c>
      <c r="B476">
        <v>52</v>
      </c>
      <c r="C476" s="1">
        <v>45554</v>
      </c>
      <c r="D476" t="s">
        <v>43</v>
      </c>
      <c r="E476">
        <v>17.96</v>
      </c>
      <c r="F476">
        <v>4</v>
      </c>
      <c r="G476">
        <v>0.15</v>
      </c>
      <c r="H476">
        <v>17.64</v>
      </c>
      <c r="I476" t="s">
        <v>109</v>
      </c>
      <c r="J476" t="s">
        <v>24</v>
      </c>
      <c r="K476" t="s">
        <v>17</v>
      </c>
      <c r="L476" t="s">
        <v>110</v>
      </c>
      <c r="M476">
        <v>98.218262806236083</v>
      </c>
      <c r="N476">
        <v>4.41</v>
      </c>
    </row>
    <row r="477" spans="1:14" x14ac:dyDescent="0.3">
      <c r="A477">
        <v>7476</v>
      </c>
      <c r="B477">
        <v>15</v>
      </c>
      <c r="C477" s="1">
        <v>45478</v>
      </c>
      <c r="D477" t="s">
        <v>26</v>
      </c>
      <c r="E477">
        <v>141.72</v>
      </c>
      <c r="F477">
        <v>3</v>
      </c>
      <c r="G477">
        <v>0.1</v>
      </c>
      <c r="H477">
        <v>78.98</v>
      </c>
      <c r="I477" t="s">
        <v>113</v>
      </c>
      <c r="J477" t="s">
        <v>24</v>
      </c>
      <c r="K477" t="s">
        <v>17</v>
      </c>
      <c r="L477" t="s">
        <v>114</v>
      </c>
      <c r="M477">
        <v>55.729607677109797</v>
      </c>
      <c r="N477">
        <v>26.326666666666672</v>
      </c>
    </row>
    <row r="478" spans="1:14" x14ac:dyDescent="0.3">
      <c r="A478">
        <v>7477</v>
      </c>
      <c r="B478">
        <v>32</v>
      </c>
      <c r="C478" s="1">
        <v>45511</v>
      </c>
      <c r="D478" t="s">
        <v>43</v>
      </c>
      <c r="E478">
        <v>9.2200000000000006</v>
      </c>
      <c r="F478">
        <v>5</v>
      </c>
      <c r="G478">
        <v>0.3</v>
      </c>
      <c r="H478">
        <v>5.38</v>
      </c>
      <c r="I478" t="s">
        <v>44</v>
      </c>
      <c r="J478" t="s">
        <v>24</v>
      </c>
      <c r="K478" t="s">
        <v>17</v>
      </c>
      <c r="L478" t="s">
        <v>45</v>
      </c>
      <c r="M478">
        <v>58.35140997830802</v>
      </c>
      <c r="N478">
        <v>1.0760000000000001</v>
      </c>
    </row>
    <row r="479" spans="1:14" x14ac:dyDescent="0.3">
      <c r="A479">
        <v>7478</v>
      </c>
      <c r="B479">
        <v>32</v>
      </c>
      <c r="C479" s="1">
        <v>45523</v>
      </c>
      <c r="D479" t="s">
        <v>26</v>
      </c>
      <c r="E479">
        <v>75.47</v>
      </c>
      <c r="F479">
        <v>2</v>
      </c>
      <c r="G479">
        <v>0</v>
      </c>
      <c r="H479">
        <v>56.21</v>
      </c>
      <c r="I479" t="s">
        <v>44</v>
      </c>
      <c r="J479" t="s">
        <v>24</v>
      </c>
      <c r="K479" t="s">
        <v>17</v>
      </c>
      <c r="L479" t="s">
        <v>45</v>
      </c>
      <c r="M479">
        <v>74.479925798330456</v>
      </c>
      <c r="N479">
        <v>28.105</v>
      </c>
    </row>
    <row r="480" spans="1:14" x14ac:dyDescent="0.3">
      <c r="A480">
        <v>7479</v>
      </c>
      <c r="B480">
        <v>62</v>
      </c>
      <c r="C480" s="1">
        <v>45416</v>
      </c>
      <c r="D480" t="s">
        <v>22</v>
      </c>
      <c r="E480">
        <v>42.3</v>
      </c>
      <c r="F480">
        <v>4</v>
      </c>
      <c r="G480">
        <v>0.15</v>
      </c>
      <c r="H480">
        <v>62.61</v>
      </c>
      <c r="I480" t="s">
        <v>72</v>
      </c>
      <c r="J480" t="s">
        <v>54</v>
      </c>
      <c r="K480" t="s">
        <v>39</v>
      </c>
      <c r="L480" t="s">
        <v>73</v>
      </c>
      <c r="M480">
        <v>148.01418439716309</v>
      </c>
      <c r="N480">
        <v>15.6525</v>
      </c>
    </row>
    <row r="481" spans="1:14" x14ac:dyDescent="0.3">
      <c r="A481">
        <v>7480</v>
      </c>
      <c r="B481">
        <v>29</v>
      </c>
      <c r="C481" s="1">
        <v>45576</v>
      </c>
      <c r="D481" t="s">
        <v>14</v>
      </c>
      <c r="E481">
        <v>235.08</v>
      </c>
      <c r="F481">
        <v>1</v>
      </c>
      <c r="G481">
        <v>0.1</v>
      </c>
      <c r="H481">
        <v>83.04</v>
      </c>
      <c r="I481" t="s">
        <v>61</v>
      </c>
      <c r="J481" t="s">
        <v>20</v>
      </c>
      <c r="K481" t="s">
        <v>39</v>
      </c>
      <c r="L481" t="s">
        <v>62</v>
      </c>
      <c r="M481">
        <v>35.324144971924447</v>
      </c>
      <c r="N481">
        <v>83.04</v>
      </c>
    </row>
    <row r="482" spans="1:14" x14ac:dyDescent="0.3">
      <c r="A482">
        <v>7481</v>
      </c>
      <c r="B482">
        <v>46</v>
      </c>
      <c r="C482" s="1">
        <v>45553</v>
      </c>
      <c r="D482" t="s">
        <v>26</v>
      </c>
      <c r="E482">
        <v>146.5</v>
      </c>
      <c r="F482">
        <v>4</v>
      </c>
      <c r="G482">
        <v>0.2</v>
      </c>
      <c r="H482">
        <v>115.71</v>
      </c>
      <c r="I482" t="s">
        <v>111</v>
      </c>
      <c r="J482" t="s">
        <v>20</v>
      </c>
      <c r="K482" t="s">
        <v>17</v>
      </c>
      <c r="L482" t="s">
        <v>112</v>
      </c>
      <c r="M482">
        <v>78.982935153583611</v>
      </c>
      <c r="N482">
        <v>28.927499999999998</v>
      </c>
    </row>
    <row r="483" spans="1:14" x14ac:dyDescent="0.3">
      <c r="A483">
        <v>7482</v>
      </c>
      <c r="B483">
        <v>34</v>
      </c>
      <c r="C483" s="1">
        <v>45594</v>
      </c>
      <c r="D483" t="s">
        <v>43</v>
      </c>
      <c r="E483">
        <v>47.48</v>
      </c>
      <c r="F483">
        <v>3</v>
      </c>
      <c r="G483">
        <v>0</v>
      </c>
      <c r="H483">
        <v>33.130000000000003</v>
      </c>
      <c r="I483" t="s">
        <v>107</v>
      </c>
      <c r="J483" t="s">
        <v>20</v>
      </c>
      <c r="K483" t="s">
        <v>39</v>
      </c>
      <c r="L483" t="s">
        <v>108</v>
      </c>
      <c r="M483">
        <v>69.776748104465042</v>
      </c>
      <c r="N483">
        <v>11.043333333333329</v>
      </c>
    </row>
    <row r="484" spans="1:14" x14ac:dyDescent="0.3">
      <c r="A484">
        <v>7483</v>
      </c>
      <c r="B484">
        <v>30</v>
      </c>
      <c r="C484" s="1">
        <v>45364</v>
      </c>
      <c r="D484" t="s">
        <v>14</v>
      </c>
      <c r="E484">
        <v>191.12</v>
      </c>
      <c r="F484">
        <v>1</v>
      </c>
      <c r="G484">
        <v>0</v>
      </c>
      <c r="H484">
        <v>46.62</v>
      </c>
      <c r="I484" t="s">
        <v>38</v>
      </c>
      <c r="J484" t="s">
        <v>24</v>
      </c>
      <c r="K484" t="s">
        <v>39</v>
      </c>
      <c r="L484" t="s">
        <v>40</v>
      </c>
      <c r="M484">
        <v>24.393051485977399</v>
      </c>
      <c r="N484">
        <v>46.62</v>
      </c>
    </row>
    <row r="485" spans="1:14" x14ac:dyDescent="0.3">
      <c r="A485">
        <v>7484</v>
      </c>
      <c r="B485">
        <v>66</v>
      </c>
      <c r="C485" s="1">
        <v>45372</v>
      </c>
      <c r="D485" t="s">
        <v>14</v>
      </c>
      <c r="E485">
        <v>801.5</v>
      </c>
      <c r="F485">
        <v>5</v>
      </c>
      <c r="G485">
        <v>0</v>
      </c>
      <c r="H485">
        <v>1038.4100000000001</v>
      </c>
      <c r="I485" t="s">
        <v>74</v>
      </c>
      <c r="J485" t="s">
        <v>20</v>
      </c>
      <c r="K485" t="s">
        <v>32</v>
      </c>
      <c r="L485" t="s">
        <v>94</v>
      </c>
      <c r="M485">
        <v>129.5583281347474</v>
      </c>
      <c r="N485">
        <v>207.68199999999999</v>
      </c>
    </row>
    <row r="486" spans="1:14" x14ac:dyDescent="0.3">
      <c r="A486">
        <v>7485</v>
      </c>
      <c r="B486">
        <v>60</v>
      </c>
      <c r="C486" s="1">
        <v>45449</v>
      </c>
      <c r="D486" t="s">
        <v>46</v>
      </c>
      <c r="E486">
        <v>212.57</v>
      </c>
      <c r="F486">
        <v>4</v>
      </c>
      <c r="G486">
        <v>0</v>
      </c>
      <c r="H486">
        <v>184.31</v>
      </c>
      <c r="I486" t="s">
        <v>95</v>
      </c>
      <c r="J486" t="s">
        <v>16</v>
      </c>
      <c r="K486" t="s">
        <v>32</v>
      </c>
      <c r="L486" t="s">
        <v>96</v>
      </c>
      <c r="M486">
        <v>86.705555816907378</v>
      </c>
      <c r="N486">
        <v>46.077500000000001</v>
      </c>
    </row>
    <row r="487" spans="1:14" x14ac:dyDescent="0.3">
      <c r="A487">
        <v>7486</v>
      </c>
      <c r="B487">
        <v>31</v>
      </c>
      <c r="C487" s="1">
        <v>45566</v>
      </c>
      <c r="D487" t="s">
        <v>46</v>
      </c>
      <c r="E487">
        <v>131.99</v>
      </c>
      <c r="F487">
        <v>7</v>
      </c>
      <c r="G487">
        <v>0.15</v>
      </c>
      <c r="H487">
        <v>200.27</v>
      </c>
      <c r="I487" t="s">
        <v>82</v>
      </c>
      <c r="J487" t="s">
        <v>54</v>
      </c>
      <c r="K487" t="s">
        <v>32</v>
      </c>
      <c r="L487" t="s">
        <v>83</v>
      </c>
      <c r="M487">
        <v>151.73119175695129</v>
      </c>
      <c r="N487">
        <v>28.61</v>
      </c>
    </row>
    <row r="488" spans="1:14" x14ac:dyDescent="0.3">
      <c r="A488">
        <v>7487</v>
      </c>
      <c r="B488">
        <v>8</v>
      </c>
      <c r="C488" s="1">
        <v>45389</v>
      </c>
      <c r="D488" t="s">
        <v>26</v>
      </c>
      <c r="E488">
        <v>109.87</v>
      </c>
      <c r="F488">
        <v>7</v>
      </c>
      <c r="G488">
        <v>0</v>
      </c>
      <c r="H488">
        <v>316.01</v>
      </c>
      <c r="I488" t="s">
        <v>116</v>
      </c>
      <c r="J488" t="s">
        <v>31</v>
      </c>
      <c r="K488" t="s">
        <v>17</v>
      </c>
      <c r="L488" t="s">
        <v>117</v>
      </c>
      <c r="M488">
        <v>287.62173477746433</v>
      </c>
      <c r="N488">
        <v>45.144285714285722</v>
      </c>
    </row>
    <row r="489" spans="1:14" x14ac:dyDescent="0.3">
      <c r="A489">
        <v>7488</v>
      </c>
      <c r="B489">
        <v>48</v>
      </c>
      <c r="C489" s="1">
        <v>45374</v>
      </c>
      <c r="D489" t="s">
        <v>14</v>
      </c>
      <c r="E489">
        <v>1158.8900000000001</v>
      </c>
      <c r="F489">
        <v>4</v>
      </c>
      <c r="G489">
        <v>0</v>
      </c>
      <c r="H489">
        <v>842.16</v>
      </c>
      <c r="I489" t="s">
        <v>86</v>
      </c>
      <c r="J489" t="s">
        <v>16</v>
      </c>
      <c r="K489" t="s">
        <v>39</v>
      </c>
      <c r="L489" t="s">
        <v>87</v>
      </c>
      <c r="M489">
        <v>72.669537229590375</v>
      </c>
      <c r="N489">
        <v>210.54</v>
      </c>
    </row>
    <row r="490" spans="1:14" x14ac:dyDescent="0.3">
      <c r="A490">
        <v>7489</v>
      </c>
      <c r="B490">
        <v>11</v>
      </c>
      <c r="C490" s="1">
        <v>45595</v>
      </c>
      <c r="D490" t="s">
        <v>26</v>
      </c>
      <c r="E490">
        <v>36.520000000000003</v>
      </c>
      <c r="F490">
        <v>1</v>
      </c>
      <c r="G490">
        <v>0.05</v>
      </c>
      <c r="H490">
        <v>6.79</v>
      </c>
      <c r="I490" t="s">
        <v>124</v>
      </c>
      <c r="J490" t="s">
        <v>20</v>
      </c>
      <c r="K490" t="s">
        <v>32</v>
      </c>
      <c r="L490" t="s">
        <v>125</v>
      </c>
      <c r="M490">
        <v>18.59255202628697</v>
      </c>
      <c r="N490">
        <v>6.79</v>
      </c>
    </row>
    <row r="491" spans="1:14" x14ac:dyDescent="0.3">
      <c r="A491">
        <v>7490</v>
      </c>
      <c r="B491">
        <v>32</v>
      </c>
      <c r="C491" s="1">
        <v>45656</v>
      </c>
      <c r="D491" t="s">
        <v>29</v>
      </c>
      <c r="E491">
        <v>63.71</v>
      </c>
      <c r="F491">
        <v>7</v>
      </c>
      <c r="G491">
        <v>0</v>
      </c>
      <c r="H491">
        <v>-286.49</v>
      </c>
      <c r="I491" t="s">
        <v>44</v>
      </c>
      <c r="J491" t="s">
        <v>24</v>
      </c>
      <c r="K491" t="s">
        <v>17</v>
      </c>
      <c r="L491" t="s">
        <v>45</v>
      </c>
      <c r="M491">
        <v>-449.67822947731912</v>
      </c>
      <c r="N491">
        <v>-40.927142857142861</v>
      </c>
    </row>
    <row r="492" spans="1:14" x14ac:dyDescent="0.3">
      <c r="A492">
        <v>7491</v>
      </c>
      <c r="B492">
        <v>1</v>
      </c>
      <c r="C492" s="1">
        <v>45632</v>
      </c>
      <c r="D492" t="s">
        <v>43</v>
      </c>
      <c r="E492">
        <v>44.73</v>
      </c>
      <c r="F492">
        <v>2</v>
      </c>
      <c r="G492">
        <v>0.05</v>
      </c>
      <c r="H492">
        <v>19.34</v>
      </c>
      <c r="I492" t="s">
        <v>56</v>
      </c>
      <c r="J492" t="s">
        <v>31</v>
      </c>
      <c r="K492" t="s">
        <v>32</v>
      </c>
      <c r="L492" t="s">
        <v>57</v>
      </c>
      <c r="M492">
        <v>43.237200983679863</v>
      </c>
      <c r="N492">
        <v>9.67</v>
      </c>
    </row>
    <row r="493" spans="1:14" x14ac:dyDescent="0.3">
      <c r="A493">
        <v>7492</v>
      </c>
      <c r="B493">
        <v>47</v>
      </c>
      <c r="C493" s="1">
        <v>45366</v>
      </c>
      <c r="D493" t="s">
        <v>14</v>
      </c>
      <c r="E493">
        <v>1140.8399999999999</v>
      </c>
      <c r="F493">
        <v>3</v>
      </c>
      <c r="G493">
        <v>0</v>
      </c>
      <c r="H493">
        <v>1444.76</v>
      </c>
      <c r="I493" t="s">
        <v>30</v>
      </c>
      <c r="J493" t="s">
        <v>31</v>
      </c>
      <c r="K493" t="s">
        <v>32</v>
      </c>
      <c r="L493" t="s">
        <v>33</v>
      </c>
      <c r="M493">
        <v>126.6400196346552</v>
      </c>
      <c r="N493">
        <v>481.58666666666659</v>
      </c>
    </row>
    <row r="494" spans="1:14" x14ac:dyDescent="0.3">
      <c r="A494">
        <v>7493</v>
      </c>
      <c r="B494">
        <v>44</v>
      </c>
      <c r="C494" s="1">
        <v>45437</v>
      </c>
      <c r="D494" t="s">
        <v>43</v>
      </c>
      <c r="E494">
        <v>36.450000000000003</v>
      </c>
      <c r="F494">
        <v>5</v>
      </c>
      <c r="G494">
        <v>0</v>
      </c>
      <c r="H494">
        <v>52.45</v>
      </c>
      <c r="I494" t="s">
        <v>146</v>
      </c>
      <c r="J494" t="s">
        <v>24</v>
      </c>
      <c r="K494" t="s">
        <v>32</v>
      </c>
      <c r="L494" t="s">
        <v>141</v>
      </c>
      <c r="M494">
        <v>143.89574759945131</v>
      </c>
      <c r="N494">
        <v>10.49</v>
      </c>
    </row>
    <row r="495" spans="1:14" x14ac:dyDescent="0.3">
      <c r="A495">
        <v>7494</v>
      </c>
      <c r="B495">
        <v>63</v>
      </c>
      <c r="C495" s="1">
        <v>45296</v>
      </c>
      <c r="D495" t="s">
        <v>26</v>
      </c>
      <c r="E495">
        <v>145.72999999999999</v>
      </c>
      <c r="F495">
        <v>2</v>
      </c>
      <c r="G495">
        <v>0.2</v>
      </c>
      <c r="H495">
        <v>62.31</v>
      </c>
      <c r="I495" t="s">
        <v>153</v>
      </c>
      <c r="J495" t="s">
        <v>31</v>
      </c>
      <c r="K495" t="s">
        <v>39</v>
      </c>
      <c r="L495" t="s">
        <v>154</v>
      </c>
      <c r="M495">
        <v>42.757153640293701</v>
      </c>
      <c r="N495">
        <v>31.155000000000001</v>
      </c>
    </row>
    <row r="496" spans="1:14" x14ac:dyDescent="0.3">
      <c r="A496">
        <v>7495</v>
      </c>
      <c r="B496">
        <v>26</v>
      </c>
      <c r="C496" s="1">
        <v>45584</v>
      </c>
      <c r="D496" t="s">
        <v>26</v>
      </c>
      <c r="E496">
        <v>88.81</v>
      </c>
      <c r="F496">
        <v>1</v>
      </c>
      <c r="G496">
        <v>0</v>
      </c>
      <c r="H496">
        <v>-22.4</v>
      </c>
      <c r="I496" t="s">
        <v>161</v>
      </c>
      <c r="J496" t="s">
        <v>31</v>
      </c>
      <c r="K496" t="s">
        <v>17</v>
      </c>
      <c r="L496" t="s">
        <v>162</v>
      </c>
      <c r="M496">
        <v>-25.22238486656908</v>
      </c>
      <c r="N496">
        <v>-22.4</v>
      </c>
    </row>
    <row r="497" spans="1:14" x14ac:dyDescent="0.3">
      <c r="A497">
        <v>7496</v>
      </c>
      <c r="B497">
        <v>18</v>
      </c>
      <c r="C497" s="1">
        <v>45577</v>
      </c>
      <c r="D497" t="s">
        <v>29</v>
      </c>
      <c r="E497">
        <v>133.19999999999999</v>
      </c>
      <c r="F497">
        <v>1</v>
      </c>
      <c r="G497">
        <v>0.05</v>
      </c>
      <c r="H497">
        <v>51.42</v>
      </c>
      <c r="I497" t="s">
        <v>92</v>
      </c>
      <c r="J497" t="s">
        <v>20</v>
      </c>
      <c r="K497" t="s">
        <v>32</v>
      </c>
      <c r="L497" t="s">
        <v>93</v>
      </c>
      <c r="M497">
        <v>38.603603603603609</v>
      </c>
      <c r="N497">
        <v>51.42</v>
      </c>
    </row>
    <row r="498" spans="1:14" x14ac:dyDescent="0.3">
      <c r="A498">
        <v>7497</v>
      </c>
      <c r="B498">
        <v>4</v>
      </c>
      <c r="C498" s="1">
        <v>45401</v>
      </c>
      <c r="D498" t="s">
        <v>46</v>
      </c>
      <c r="E498">
        <v>176.72</v>
      </c>
      <c r="F498">
        <v>7</v>
      </c>
      <c r="G498">
        <v>0.1</v>
      </c>
      <c r="H498">
        <v>291.8</v>
      </c>
      <c r="I498" t="s">
        <v>140</v>
      </c>
      <c r="J498" t="s">
        <v>20</v>
      </c>
      <c r="K498" t="s">
        <v>17</v>
      </c>
      <c r="L498" t="s">
        <v>141</v>
      </c>
      <c r="M498">
        <v>165.11996378451789</v>
      </c>
      <c r="N498">
        <v>41.68571428571429</v>
      </c>
    </row>
    <row r="499" spans="1:14" x14ac:dyDescent="0.3">
      <c r="A499">
        <v>7498</v>
      </c>
      <c r="B499">
        <v>4</v>
      </c>
      <c r="C499" s="1">
        <v>45510</v>
      </c>
      <c r="D499" t="s">
        <v>22</v>
      </c>
      <c r="E499">
        <v>95.72</v>
      </c>
      <c r="F499">
        <v>6</v>
      </c>
      <c r="G499">
        <v>0</v>
      </c>
      <c r="H499">
        <v>221.06</v>
      </c>
      <c r="I499" t="s">
        <v>140</v>
      </c>
      <c r="J499" t="s">
        <v>20</v>
      </c>
      <c r="K499" t="s">
        <v>17</v>
      </c>
      <c r="L499" t="s">
        <v>141</v>
      </c>
      <c r="M499">
        <v>230.94442122858339</v>
      </c>
      <c r="N499">
        <v>36.843333333333327</v>
      </c>
    </row>
    <row r="500" spans="1:14" x14ac:dyDescent="0.3">
      <c r="A500">
        <v>7499</v>
      </c>
      <c r="B500">
        <v>56</v>
      </c>
      <c r="C500" s="1">
        <v>45404</v>
      </c>
      <c r="D500" t="s">
        <v>29</v>
      </c>
      <c r="E500">
        <v>11.55</v>
      </c>
      <c r="F500">
        <v>7</v>
      </c>
      <c r="G500">
        <v>0.1</v>
      </c>
      <c r="H500">
        <v>27.06</v>
      </c>
      <c r="I500" t="s">
        <v>159</v>
      </c>
      <c r="J500" t="s">
        <v>24</v>
      </c>
      <c r="K500" t="s">
        <v>17</v>
      </c>
      <c r="L500" t="s">
        <v>160</v>
      </c>
      <c r="M500">
        <v>234.28571428571419</v>
      </c>
      <c r="N500">
        <v>3.8657142857142861</v>
      </c>
    </row>
    <row r="501" spans="1:14" x14ac:dyDescent="0.3">
      <c r="A501">
        <v>7500</v>
      </c>
      <c r="B501">
        <v>63</v>
      </c>
      <c r="C501" s="1">
        <v>45536</v>
      </c>
      <c r="D501" t="s">
        <v>43</v>
      </c>
      <c r="E501">
        <v>37.799999999999997</v>
      </c>
      <c r="F501">
        <v>7</v>
      </c>
      <c r="G501">
        <v>0.1</v>
      </c>
      <c r="H501">
        <v>64.819999999999993</v>
      </c>
      <c r="I501" t="s">
        <v>153</v>
      </c>
      <c r="J501" t="s">
        <v>31</v>
      </c>
      <c r="K501" t="s">
        <v>39</v>
      </c>
      <c r="L501" t="s">
        <v>154</v>
      </c>
      <c r="M501">
        <v>171.4814814814815</v>
      </c>
      <c r="N501">
        <v>9.26</v>
      </c>
    </row>
    <row r="502" spans="1:14" x14ac:dyDescent="0.3">
      <c r="A502">
        <v>8125</v>
      </c>
      <c r="B502">
        <v>95</v>
      </c>
      <c r="C502" s="1">
        <v>45467</v>
      </c>
      <c r="D502" t="s">
        <v>43</v>
      </c>
      <c r="E502">
        <v>16.8</v>
      </c>
      <c r="F502">
        <v>1</v>
      </c>
      <c r="G502">
        <v>0.05</v>
      </c>
      <c r="H502">
        <v>6.91</v>
      </c>
      <c r="I502" t="s">
        <v>163</v>
      </c>
      <c r="J502" t="s">
        <v>64</v>
      </c>
      <c r="K502" t="s">
        <v>64</v>
      </c>
      <c r="L502" t="s">
        <v>164</v>
      </c>
      <c r="M502">
        <v>41.13095238095238</v>
      </c>
      <c r="N502">
        <v>6.91</v>
      </c>
    </row>
    <row r="503" spans="1:14" x14ac:dyDescent="0.3">
      <c r="A503">
        <v>8038</v>
      </c>
      <c r="B503">
        <v>96</v>
      </c>
      <c r="C503" s="1">
        <v>45445</v>
      </c>
      <c r="D503" t="s">
        <v>26</v>
      </c>
      <c r="E503">
        <v>95.56</v>
      </c>
      <c r="F503">
        <v>5</v>
      </c>
      <c r="G503">
        <v>0</v>
      </c>
      <c r="H503">
        <v>99.64</v>
      </c>
      <c r="I503" t="s">
        <v>163</v>
      </c>
      <c r="J503" t="s">
        <v>64</v>
      </c>
      <c r="K503" t="s">
        <v>64</v>
      </c>
      <c r="L503" t="s">
        <v>164</v>
      </c>
      <c r="M503">
        <v>104.2695688572624</v>
      </c>
      <c r="N503">
        <v>19.928000000000001</v>
      </c>
    </row>
    <row r="504" spans="1:14" x14ac:dyDescent="0.3">
      <c r="A504">
        <v>8283</v>
      </c>
      <c r="B504">
        <v>97</v>
      </c>
      <c r="C504" s="1">
        <v>45327</v>
      </c>
      <c r="D504" t="s">
        <v>22</v>
      </c>
      <c r="E504">
        <v>44.19</v>
      </c>
      <c r="F504">
        <v>3</v>
      </c>
      <c r="G504">
        <v>0</v>
      </c>
      <c r="H504">
        <v>29.81</v>
      </c>
      <c r="I504" t="s">
        <v>163</v>
      </c>
      <c r="J504" t="s">
        <v>64</v>
      </c>
      <c r="K504" t="s">
        <v>64</v>
      </c>
      <c r="L504" t="s">
        <v>164</v>
      </c>
      <c r="M504">
        <v>67.458701063589046</v>
      </c>
      <c r="N504">
        <v>9.9366666666666656</v>
      </c>
    </row>
    <row r="505" spans="1:14" x14ac:dyDescent="0.3">
      <c r="A505">
        <v>8203</v>
      </c>
      <c r="B505">
        <v>98</v>
      </c>
      <c r="C505" s="1">
        <v>45581</v>
      </c>
      <c r="D505" t="s">
        <v>29</v>
      </c>
      <c r="E505">
        <v>116.01</v>
      </c>
      <c r="F505">
        <v>3</v>
      </c>
      <c r="G505">
        <v>0</v>
      </c>
      <c r="H505">
        <v>113.7</v>
      </c>
      <c r="I505" t="s">
        <v>163</v>
      </c>
      <c r="J505" t="s">
        <v>64</v>
      </c>
      <c r="K505" t="s">
        <v>64</v>
      </c>
      <c r="L505" t="s">
        <v>164</v>
      </c>
      <c r="M505">
        <v>98.008792345487464</v>
      </c>
      <c r="N505">
        <v>37.9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682C9-8BAC-4B76-B09D-195E904BDC2D}">
  <dimension ref="A1:B5"/>
  <sheetViews>
    <sheetView tabSelected="1" workbookViewId="0">
      <selection activeCell="B3" sqref="B3"/>
    </sheetView>
  </sheetViews>
  <sheetFormatPr defaultRowHeight="14.4" x14ac:dyDescent="0.3"/>
  <cols>
    <col min="1" max="1" width="20.44140625" customWidth="1"/>
    <col min="2" max="2" width="14.5546875" customWidth="1"/>
  </cols>
  <sheetData>
    <row r="1" spans="1:2" ht="24" customHeight="1" x14ac:dyDescent="0.3">
      <c r="A1" s="2" t="s">
        <v>170</v>
      </c>
      <c r="B1" s="2" t="s">
        <v>171</v>
      </c>
    </row>
    <row r="2" spans="1:2" ht="28.8" customHeight="1" x14ac:dyDescent="0.3">
      <c r="A2" t="s">
        <v>172</v>
      </c>
      <c r="B2">
        <f>SUM('Cleaned Data'!E:E)</f>
        <v>110462.09</v>
      </c>
    </row>
    <row r="3" spans="1:2" ht="30" customHeight="1" x14ac:dyDescent="0.3">
      <c r="A3" t="s">
        <v>173</v>
      </c>
      <c r="B3">
        <f>SUM('Cleaned Data'!H:H)</f>
        <v>100872.82</v>
      </c>
    </row>
    <row r="4" spans="1:2" ht="21" customHeight="1" x14ac:dyDescent="0.3">
      <c r="A4" t="s">
        <v>174</v>
      </c>
      <c r="B4" s="2">
        <f>AVERAGE('Cleaned Data'!M:M)</f>
        <v>99.991552060282743</v>
      </c>
    </row>
    <row r="5" spans="1:2" x14ac:dyDescent="0.3">
      <c r="A5" s="2"/>
      <c r="B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/>
  </sheetViews>
  <sheetFormatPr defaultRowHeight="14.4" x14ac:dyDescent="0.3"/>
  <sheetData>
    <row r="1" spans="1:5" x14ac:dyDescent="0.3">
      <c r="A1" t="s">
        <v>9</v>
      </c>
      <c r="B1" t="s">
        <v>165</v>
      </c>
      <c r="C1" t="s">
        <v>166</v>
      </c>
      <c r="D1" t="s">
        <v>167</v>
      </c>
      <c r="E1" t="s">
        <v>168</v>
      </c>
    </row>
    <row r="2" spans="1:5" x14ac:dyDescent="0.3">
      <c r="A2" t="s">
        <v>16</v>
      </c>
      <c r="B2">
        <v>17769.84</v>
      </c>
      <c r="C2">
        <v>11995.64</v>
      </c>
      <c r="D2">
        <v>224.93468354430379</v>
      </c>
      <c r="E2">
        <v>79</v>
      </c>
    </row>
    <row r="3" spans="1:5" x14ac:dyDescent="0.3">
      <c r="A3" t="s">
        <v>31</v>
      </c>
      <c r="B3">
        <v>11383.95</v>
      </c>
      <c r="C3">
        <v>14097.42</v>
      </c>
      <c r="D3">
        <v>252.97666666666669</v>
      </c>
      <c r="E3">
        <v>45</v>
      </c>
    </row>
    <row r="4" spans="1:5" x14ac:dyDescent="0.3">
      <c r="A4" t="s">
        <v>54</v>
      </c>
      <c r="B4">
        <v>15728.02</v>
      </c>
      <c r="C4">
        <v>15935.41</v>
      </c>
      <c r="D4">
        <v>189.4942168674699</v>
      </c>
      <c r="E4">
        <v>83</v>
      </c>
    </row>
    <row r="5" spans="1:5" x14ac:dyDescent="0.3">
      <c r="A5" t="s">
        <v>20</v>
      </c>
      <c r="B5">
        <v>36433.660000000003</v>
      </c>
      <c r="C5">
        <v>33641.61</v>
      </c>
      <c r="D5">
        <v>262.11266187050359</v>
      </c>
      <c r="E5">
        <v>139</v>
      </c>
    </row>
    <row r="6" spans="1:5" x14ac:dyDescent="0.3">
      <c r="A6" t="s">
        <v>64</v>
      </c>
      <c r="B6">
        <v>4197.5</v>
      </c>
      <c r="C6">
        <v>4056.43</v>
      </c>
      <c r="D6">
        <v>139.91666666666671</v>
      </c>
      <c r="E6">
        <v>30</v>
      </c>
    </row>
    <row r="7" spans="1:5" x14ac:dyDescent="0.3">
      <c r="A7" t="s">
        <v>24</v>
      </c>
      <c r="B7">
        <v>24949.119999999999</v>
      </c>
      <c r="C7">
        <v>21146.31</v>
      </c>
      <c r="D7">
        <v>194.91499999999999</v>
      </c>
      <c r="E7">
        <v>128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/>
  </sheetViews>
  <sheetFormatPr defaultRowHeight="14.4" x14ac:dyDescent="0.3"/>
  <sheetData>
    <row r="1" spans="1:5" x14ac:dyDescent="0.3">
      <c r="A1" t="s">
        <v>3</v>
      </c>
      <c r="B1" t="s">
        <v>165</v>
      </c>
      <c r="C1" t="s">
        <v>166</v>
      </c>
      <c r="D1" t="s">
        <v>169</v>
      </c>
      <c r="E1" t="s">
        <v>168</v>
      </c>
    </row>
    <row r="2" spans="1:5" x14ac:dyDescent="0.3">
      <c r="A2" t="s">
        <v>22</v>
      </c>
      <c r="B2">
        <v>3995.61</v>
      </c>
      <c r="C2">
        <v>4500.0600000000004</v>
      </c>
      <c r="D2">
        <v>68.182727272727277</v>
      </c>
      <c r="E2">
        <v>66</v>
      </c>
    </row>
    <row r="3" spans="1:5" x14ac:dyDescent="0.3">
      <c r="A3" t="s">
        <v>43</v>
      </c>
      <c r="B3">
        <v>2528.7600000000002</v>
      </c>
      <c r="C3">
        <v>2278.9699999999998</v>
      </c>
      <c r="D3">
        <v>31.652361111111109</v>
      </c>
      <c r="E3">
        <v>72</v>
      </c>
    </row>
    <row r="4" spans="1:5" x14ac:dyDescent="0.3">
      <c r="A4" t="s">
        <v>26</v>
      </c>
      <c r="B4">
        <v>9122.06</v>
      </c>
      <c r="C4">
        <v>8607.43</v>
      </c>
      <c r="D4">
        <v>78.967247706422015</v>
      </c>
      <c r="E4">
        <v>109</v>
      </c>
    </row>
    <row r="5" spans="1:5" x14ac:dyDescent="0.3">
      <c r="A5" t="s">
        <v>14</v>
      </c>
      <c r="B5">
        <v>68073.14</v>
      </c>
      <c r="C5">
        <v>61650.400000000001</v>
      </c>
      <c r="D5">
        <v>540.79298245614041</v>
      </c>
      <c r="E5">
        <v>114</v>
      </c>
    </row>
    <row r="6" spans="1:5" x14ac:dyDescent="0.3">
      <c r="A6" t="s">
        <v>46</v>
      </c>
      <c r="B6">
        <v>18203.88</v>
      </c>
      <c r="C6">
        <v>18874.27</v>
      </c>
      <c r="D6">
        <v>230.17402439024389</v>
      </c>
      <c r="E6">
        <v>82</v>
      </c>
    </row>
    <row r="7" spans="1:5" x14ac:dyDescent="0.3">
      <c r="A7" t="s">
        <v>29</v>
      </c>
      <c r="B7">
        <v>8538.64</v>
      </c>
      <c r="C7">
        <v>4961.6899999999996</v>
      </c>
      <c r="D7">
        <v>81.339180327868846</v>
      </c>
      <c r="E7">
        <v>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orkbookViewId="0"/>
  </sheetViews>
  <sheetFormatPr defaultRowHeight="14.4" x14ac:dyDescent="0.3"/>
  <sheetData>
    <row r="1" spans="1:7" x14ac:dyDescent="0.3">
      <c r="A1" t="s">
        <v>9</v>
      </c>
      <c r="B1" t="s">
        <v>22</v>
      </c>
      <c r="C1" t="s">
        <v>43</v>
      </c>
      <c r="D1" t="s">
        <v>26</v>
      </c>
      <c r="E1" t="s">
        <v>14</v>
      </c>
      <c r="F1" t="s">
        <v>46</v>
      </c>
      <c r="G1" t="s">
        <v>29</v>
      </c>
    </row>
    <row r="2" spans="1:7" x14ac:dyDescent="0.3">
      <c r="A2" t="s">
        <v>16</v>
      </c>
      <c r="B2">
        <v>719.9</v>
      </c>
      <c r="C2">
        <v>446.91</v>
      </c>
      <c r="D2">
        <v>1355.86</v>
      </c>
      <c r="E2">
        <v>11724.66</v>
      </c>
      <c r="F2">
        <v>2253.6</v>
      </c>
      <c r="G2">
        <v>1268.9100000000001</v>
      </c>
    </row>
    <row r="3" spans="1:7" x14ac:dyDescent="0.3">
      <c r="A3" t="s">
        <v>31</v>
      </c>
      <c r="B3">
        <v>291.56</v>
      </c>
      <c r="C3">
        <v>205.55</v>
      </c>
      <c r="D3">
        <v>655.44</v>
      </c>
      <c r="E3">
        <v>7734.7199999999993</v>
      </c>
      <c r="F3">
        <v>1700.93</v>
      </c>
      <c r="G3">
        <v>795.75</v>
      </c>
    </row>
    <row r="4" spans="1:7" x14ac:dyDescent="0.3">
      <c r="A4" t="s">
        <v>54</v>
      </c>
      <c r="B4">
        <v>713.58</v>
      </c>
      <c r="C4">
        <v>347.01</v>
      </c>
      <c r="D4">
        <v>1947.57</v>
      </c>
      <c r="E4">
        <v>7681.42</v>
      </c>
      <c r="F4">
        <v>3902.73</v>
      </c>
      <c r="G4">
        <v>1135.71</v>
      </c>
    </row>
    <row r="5" spans="1:7" x14ac:dyDescent="0.3">
      <c r="A5" t="s">
        <v>20</v>
      </c>
      <c r="B5">
        <v>1031.99</v>
      </c>
      <c r="C5">
        <v>683.07</v>
      </c>
      <c r="D5">
        <v>1920.9</v>
      </c>
      <c r="E5">
        <v>24368.33</v>
      </c>
      <c r="F5">
        <v>6310.48</v>
      </c>
      <c r="G5">
        <v>2118.89</v>
      </c>
    </row>
    <row r="6" spans="1:7" x14ac:dyDescent="0.3">
      <c r="A6" t="s">
        <v>64</v>
      </c>
      <c r="B6">
        <v>263.39999999999998</v>
      </c>
      <c r="C6">
        <v>40.89</v>
      </c>
      <c r="D6">
        <v>904.79</v>
      </c>
      <c r="E6">
        <v>1014.86</v>
      </c>
      <c r="F6">
        <v>646.52</v>
      </c>
      <c r="G6">
        <v>1327.04</v>
      </c>
    </row>
    <row r="7" spans="1:7" x14ac:dyDescent="0.3">
      <c r="A7" t="s">
        <v>24</v>
      </c>
      <c r="B7">
        <v>975.18</v>
      </c>
      <c r="C7">
        <v>805.33</v>
      </c>
      <c r="D7">
        <v>2337.5</v>
      </c>
      <c r="E7">
        <v>15549.15</v>
      </c>
      <c r="F7">
        <v>3389.62</v>
      </c>
      <c r="G7">
        <v>1892.34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"/>
  <sheetViews>
    <sheetView workbookViewId="0"/>
  </sheetViews>
  <sheetFormatPr defaultRowHeight="14.4" x14ac:dyDescent="0.3"/>
  <sheetData>
    <row r="1" spans="1:7" x14ac:dyDescent="0.3">
      <c r="A1" t="s">
        <v>9</v>
      </c>
      <c r="B1" t="s">
        <v>22</v>
      </c>
      <c r="C1" t="s">
        <v>43</v>
      </c>
      <c r="D1" t="s">
        <v>26</v>
      </c>
      <c r="E1" t="s">
        <v>14</v>
      </c>
      <c r="F1" t="s">
        <v>46</v>
      </c>
      <c r="G1" t="s">
        <v>29</v>
      </c>
    </row>
    <row r="2" spans="1:7" x14ac:dyDescent="0.3">
      <c r="A2" t="s">
        <v>16</v>
      </c>
      <c r="B2">
        <v>720.11</v>
      </c>
      <c r="C2">
        <v>356.24</v>
      </c>
      <c r="D2">
        <v>1136.83</v>
      </c>
      <c r="E2">
        <v>7065.81</v>
      </c>
      <c r="F2">
        <v>2522.3000000000002</v>
      </c>
      <c r="G2">
        <v>194.35</v>
      </c>
    </row>
    <row r="3" spans="1:7" x14ac:dyDescent="0.3">
      <c r="A3" t="s">
        <v>31</v>
      </c>
      <c r="B3">
        <v>250.14</v>
      </c>
      <c r="C3">
        <v>219.82</v>
      </c>
      <c r="D3">
        <v>901.42</v>
      </c>
      <c r="E3">
        <v>10010.280000000001</v>
      </c>
      <c r="F3">
        <v>1956.51</v>
      </c>
      <c r="G3">
        <v>759.25</v>
      </c>
    </row>
    <row r="4" spans="1:7" x14ac:dyDescent="0.3">
      <c r="A4" t="s">
        <v>54</v>
      </c>
      <c r="B4">
        <v>783.45</v>
      </c>
      <c r="C4">
        <v>397.04</v>
      </c>
      <c r="D4">
        <v>2040.42</v>
      </c>
      <c r="E4">
        <v>7700.2199999999993</v>
      </c>
      <c r="F4">
        <v>3600.46</v>
      </c>
      <c r="G4">
        <v>1413.82</v>
      </c>
    </row>
    <row r="5" spans="1:7" x14ac:dyDescent="0.3">
      <c r="A5" t="s">
        <v>20</v>
      </c>
      <c r="B5">
        <v>1278.8399999999999</v>
      </c>
      <c r="C5">
        <v>663.61</v>
      </c>
      <c r="D5">
        <v>2385.91</v>
      </c>
      <c r="E5">
        <v>23010.63</v>
      </c>
      <c r="F5">
        <v>5896.0599999999986</v>
      </c>
      <c r="G5">
        <v>406.56</v>
      </c>
    </row>
    <row r="6" spans="1:7" x14ac:dyDescent="0.3">
      <c r="A6" t="s">
        <v>64</v>
      </c>
      <c r="B6">
        <v>280.54000000000002</v>
      </c>
      <c r="C6">
        <v>25.95</v>
      </c>
      <c r="D6">
        <v>302.69000000000011</v>
      </c>
      <c r="E6">
        <v>1555.15</v>
      </c>
      <c r="F6">
        <v>444.82</v>
      </c>
      <c r="G6">
        <v>1447.28</v>
      </c>
    </row>
    <row r="7" spans="1:7" x14ac:dyDescent="0.3">
      <c r="A7" t="s">
        <v>24</v>
      </c>
      <c r="B7">
        <v>1186.98</v>
      </c>
      <c r="C7">
        <v>616.30999999999995</v>
      </c>
      <c r="D7">
        <v>1840.16</v>
      </c>
      <c r="E7">
        <v>12308.31</v>
      </c>
      <c r="F7">
        <v>4454.12</v>
      </c>
      <c r="G7">
        <v>740.43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Cleaned Data</vt:lpstr>
      <vt:lpstr>KPI_Summary</vt:lpstr>
      <vt:lpstr>Region Summary</vt:lpstr>
      <vt:lpstr>Category Summary</vt:lpstr>
      <vt:lpstr>Sales Pivot</vt:lpstr>
      <vt:lpstr>Profit 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manjunath kumbar</cp:lastModifiedBy>
  <dcterms:created xsi:type="dcterms:W3CDTF">2026-07-22T17:43:57Z</dcterms:created>
  <dcterms:modified xsi:type="dcterms:W3CDTF">2026-07-22T19:05:26Z</dcterms:modified>
</cp:coreProperties>
</file>